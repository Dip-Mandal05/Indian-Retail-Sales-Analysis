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948a1840fb09379d/Documents/"/>
    </mc:Choice>
  </mc:AlternateContent>
  <xr:revisionPtr revIDLastSave="2090" documentId="8_{C0144AA6-C24F-4D76-9F95-3C5D532ADC54}" xr6:coauthVersionLast="47" xr6:coauthVersionMax="47" xr10:uidLastSave="{B09EC12E-A496-4DE5-9A89-A9678B88FAF6}"/>
  <bookViews>
    <workbookView xWindow="-108" yWindow="-108" windowWidth="23256" windowHeight="13176" tabRatio="823" activeTab="3" xr2:uid="{00000000-000D-0000-FFFF-FFFF00000000}"/>
  </bookViews>
  <sheets>
    <sheet name="Raw Data" sheetId="2" r:id="rId1"/>
    <sheet name="Table1" sheetId="8" r:id="rId2"/>
    <sheet name="Revenue By Category" sheetId="11" r:id="rId3"/>
    <sheet name="Order Status" sheetId="12" r:id="rId4"/>
    <sheet name="Revenue By State" sheetId="13" r:id="rId5"/>
    <sheet name="Revenue By Sales Person" sheetId="14" r:id="rId6"/>
    <sheet name="Average Rating " sheetId="15" r:id="rId7"/>
    <sheet name="Monthly Revenue By Category" sheetId="16" r:id="rId8"/>
    <sheet name="Cities As per Revenue" sheetId="17" r:id="rId9"/>
    <sheet name="revenue by payment method" sheetId="20" r:id="rId10"/>
    <sheet name="Dashboard" sheetId="22" r:id="rId11"/>
  </sheets>
  <definedNames>
    <definedName name="Slicer_Category">#N/A</definedName>
    <definedName name="Slicer_Months__OrderDate">#N/A</definedName>
    <definedName name="Slicer_PaymentMethod">#N/A</definedName>
    <definedName name="Slicer_SalesPerson">#N/A</definedName>
    <definedName name="Slicer_State">#N/A</definedName>
  </definedNames>
  <calcPr calcId="191029" iterateDelta="1E-4"/>
  <pivotCaches>
    <pivotCache cacheId="2"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22" l="1" a="1"/>
  <c r="X3" i="8"/>
  <c r="X6" i="8"/>
  <c r="X5" i="8"/>
  <c r="X4"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106512-79C3-477C-AADE-191971A6E9A0}"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<sst xmlns="http://schemas.openxmlformats.org/spreadsheetml/2006/main" count="10302" uniqueCount="1829">
  <si>
    <t>OrderID</t>
  </si>
  <si>
    <t>CustomerName</t>
  </si>
  <si>
    <t>Email</t>
  </si>
  <si>
    <t>Phone</t>
  </si>
  <si>
    <t>City</t>
  </si>
  <si>
    <t>State</t>
  </si>
  <si>
    <t>Product</t>
  </si>
  <si>
    <t>Category</t>
  </si>
  <si>
    <t>Qty</t>
  </si>
  <si>
    <t>UnitPrice</t>
  </si>
  <si>
    <t>Discount%</t>
  </si>
  <si>
    <t>OrderDate</t>
  </si>
  <si>
    <t>PaymentMethod</t>
  </si>
  <si>
    <t>DeliveryStatus</t>
  </si>
  <si>
    <t>SalesPerson</t>
  </si>
  <si>
    <t>Rating</t>
  </si>
  <si>
    <t xml:space="preserve">  Divya Gupta  </t>
  </si>
  <si>
    <t>divya.gupta@gmail.com</t>
  </si>
  <si>
    <t>9101325416</t>
  </si>
  <si>
    <t xml:space="preserve">  Nagpur  </t>
  </si>
  <si>
    <t>MAHARASHTRA</t>
  </si>
  <si>
    <t>T-Shirt</t>
  </si>
  <si>
    <t>Clothing</t>
  </si>
  <si>
    <t>2024/05/21</t>
  </si>
  <si>
    <t>Debit Card</t>
  </si>
  <si>
    <t>Delivered</t>
  </si>
  <si>
    <t>Ritu Verma</t>
  </si>
  <si>
    <t>ritu.verma@gmail.com</t>
  </si>
  <si>
    <t>9767283756</t>
  </si>
  <si>
    <t xml:space="preserve">  BENGALURU  </t>
  </si>
  <si>
    <t xml:space="preserve">  Karnataka  </t>
  </si>
  <si>
    <t>08-10-2024</t>
  </si>
  <si>
    <t>credit card</t>
  </si>
  <si>
    <t>delivered</t>
  </si>
  <si>
    <t>Suresh</t>
  </si>
  <si>
    <t>Anita Rao</t>
  </si>
  <si>
    <t>anita.raogmail.com</t>
  </si>
  <si>
    <t>621061</t>
  </si>
  <si>
    <t>Lucknow</t>
  </si>
  <si>
    <t>uttar pradesh</t>
  </si>
  <si>
    <t>NOTEBOOK</t>
  </si>
  <si>
    <t>Stationery</t>
  </si>
  <si>
    <t>2024-10-26</t>
  </si>
  <si>
    <t>Net Banking</t>
  </si>
  <si>
    <t>PENDING</t>
  </si>
  <si>
    <t>Amit</t>
  </si>
  <si>
    <t xml:space="preserve">  rahul malhotra  </t>
  </si>
  <si>
    <t>rahul.malhotragmail.com</t>
  </si>
  <si>
    <t>634665</t>
  </si>
  <si>
    <t xml:space="preserve">  NAGPUR  </t>
  </si>
  <si>
    <t>Maharashtra</t>
  </si>
  <si>
    <t xml:space="preserve">  Kurta  </t>
  </si>
  <si>
    <t>26/12/2024</t>
  </si>
  <si>
    <t>Kavita</t>
  </si>
  <si>
    <t>Meena Shah</t>
  </si>
  <si>
    <t>meena.shah@gmail.com</t>
  </si>
  <si>
    <t>9554584161</t>
  </si>
  <si>
    <t>Pune</t>
  </si>
  <si>
    <t>maharashtra</t>
  </si>
  <si>
    <t>novel</t>
  </si>
  <si>
    <t>Books</t>
  </si>
  <si>
    <t>06-11-2024</t>
  </si>
  <si>
    <t>AJAY MEHTA</t>
  </si>
  <si>
    <t>ajay.mehta@gmail.com</t>
  </si>
  <si>
    <t>9140181331</t>
  </si>
  <si>
    <t>ahmedabad</t>
  </si>
  <si>
    <t xml:space="preserve">  Gujarat  </t>
  </si>
  <si>
    <t>pen set</t>
  </si>
  <si>
    <t>2024/10/21</t>
  </si>
  <si>
    <t>Credit Card</t>
  </si>
  <si>
    <t>DELIVERED</t>
  </si>
  <si>
    <t>Rohit</t>
  </si>
  <si>
    <t>Amit Malhotra</t>
  </si>
  <si>
    <t>9403547922</t>
  </si>
  <si>
    <t>Chennai</t>
  </si>
  <si>
    <t>Tamil Nadu</t>
  </si>
  <si>
    <t xml:space="preserve">  Pen Set  </t>
  </si>
  <si>
    <t>12-01-2024</t>
  </si>
  <si>
    <t>UPI</t>
  </si>
  <si>
    <t>Ajay Agarwal</t>
  </si>
  <si>
    <t>ajay.agarwal@gmail.com</t>
  </si>
  <si>
    <t>9730747101</t>
  </si>
  <si>
    <t>laptop</t>
  </si>
  <si>
    <t>Electronics</t>
  </si>
  <si>
    <t>30/10/2024</t>
  </si>
  <si>
    <t>net banking</t>
  </si>
  <si>
    <t xml:space="preserve">  SNEHA MALHOTRA  </t>
  </si>
  <si>
    <t>sneha.malhotra@gmail.com</t>
  </si>
  <si>
    <t>9731328331</t>
  </si>
  <si>
    <t>BENGALURU</t>
  </si>
  <si>
    <t>Karnataka</t>
  </si>
  <si>
    <t>SNEAKERS</t>
  </si>
  <si>
    <t>Footwear</t>
  </si>
  <si>
    <t>2024-09-22</t>
  </si>
  <si>
    <t>Cash on Delivery</t>
  </si>
  <si>
    <t>Sneha Malhotra</t>
  </si>
  <si>
    <t>9953802889</t>
  </si>
  <si>
    <t>kolkata</t>
  </si>
  <si>
    <t>West Bengal</t>
  </si>
  <si>
    <t>Sneakers</t>
  </si>
  <si>
    <t>2024-10-13</t>
  </si>
  <si>
    <t>cash on delivery</t>
  </si>
  <si>
    <t xml:space="preserve">  Sneha Malhotra  </t>
  </si>
  <si>
    <t>9806142559</t>
  </si>
  <si>
    <t>CHENNAI</t>
  </si>
  <si>
    <t>tamil nadu</t>
  </si>
  <si>
    <t>Smartwatch</t>
  </si>
  <si>
    <t>02/09/2024</t>
  </si>
  <si>
    <t>pending</t>
  </si>
  <si>
    <t xml:space="preserve">  divya gupta  </t>
  </si>
  <si>
    <t xml:space="preserve">  Delhi  </t>
  </si>
  <si>
    <t>Delhi</t>
  </si>
  <si>
    <t>Smartphone</t>
  </si>
  <si>
    <t>08-05-2024</t>
  </si>
  <si>
    <t>sneha chopra</t>
  </si>
  <si>
    <t>sneha.chopra@gmail.com</t>
  </si>
  <si>
    <t>9689748384</t>
  </si>
  <si>
    <t>DELHI</t>
  </si>
  <si>
    <t>2024/05/20</t>
  </si>
  <si>
    <t>Cancelled</t>
  </si>
  <si>
    <t>aarav yadav</t>
  </si>
  <si>
    <t>aarav.yadav@gmail.com</t>
  </si>
  <si>
    <t>9948902661</t>
  </si>
  <si>
    <t xml:space="preserve">  Bengaluru  </t>
  </si>
  <si>
    <t xml:space="preserve">  Notebook  </t>
  </si>
  <si>
    <t>2024/11/25</t>
  </si>
  <si>
    <t>CASH ON DELIVERY</t>
  </si>
  <si>
    <t>Ajay Kapoor</t>
  </si>
  <si>
    <t>ajay.kapoor@gmail.com</t>
  </si>
  <si>
    <t>9778186934</t>
  </si>
  <si>
    <t xml:space="preserve">  nagpur  </t>
  </si>
  <si>
    <t xml:space="preserve">  Sneakers  </t>
  </si>
  <si>
    <t>04/08/2024</t>
  </si>
  <si>
    <t xml:space="preserve">  Priya Mehta  </t>
  </si>
  <si>
    <t>priya.mehta@gmail.com</t>
  </si>
  <si>
    <t>9294535427</t>
  </si>
  <si>
    <t>KURTA</t>
  </si>
  <si>
    <t>2024-04-23</t>
  </si>
  <si>
    <t>AJAY KAPOOR</t>
  </si>
  <si>
    <t>9491072948</t>
  </si>
  <si>
    <t>hyderabad</t>
  </si>
  <si>
    <t>telangana</t>
  </si>
  <si>
    <t>face cream</t>
  </si>
  <si>
    <t>Beauty</t>
  </si>
  <si>
    <t>2024/12/16</t>
  </si>
  <si>
    <t>DEBIT CARD</t>
  </si>
  <si>
    <t>priya patel</t>
  </si>
  <si>
    <t>priya.patel@gmail.com</t>
  </si>
  <si>
    <t>9456646880</t>
  </si>
  <si>
    <t>surat</t>
  </si>
  <si>
    <t>Gujarat</t>
  </si>
  <si>
    <t>Face Cream</t>
  </si>
  <si>
    <t>11-01-2024</t>
  </si>
  <si>
    <t>495474</t>
  </si>
  <si>
    <t>KOLKATA</t>
  </si>
  <si>
    <t>Sandals</t>
  </si>
  <si>
    <t>22-07-2024</t>
  </si>
  <si>
    <t>CREDIT CARD</t>
  </si>
  <si>
    <t>KAVITA REDDY</t>
  </si>
  <si>
    <t>kavita.reddygmail.com</t>
  </si>
  <si>
    <t>9314109677</t>
  </si>
  <si>
    <t>Tablet</t>
  </si>
  <si>
    <t>2024-05-11</t>
  </si>
  <si>
    <t>Sneha Rao</t>
  </si>
  <si>
    <t>sneha.rao@gmail.com</t>
  </si>
  <si>
    <t>9181979427</t>
  </si>
  <si>
    <t xml:space="preserve">  HYDERABAD  </t>
  </si>
  <si>
    <t>shampoo</t>
  </si>
  <si>
    <t>20/07/2024</t>
  </si>
  <si>
    <t>Sanjay Mehta</t>
  </si>
  <si>
    <t>sanjay.mehta@gmail.com</t>
  </si>
  <si>
    <t>770561</t>
  </si>
  <si>
    <t>Surat</t>
  </si>
  <si>
    <t>01/07/2024</t>
  </si>
  <si>
    <t>Neha</t>
  </si>
  <si>
    <t xml:space="preserve">  Ritu Agarwal  </t>
  </si>
  <si>
    <t>ritu.agarwal@gmail.com</t>
  </si>
  <si>
    <t>9283702057</t>
  </si>
  <si>
    <t>NAGPUR</t>
  </si>
  <si>
    <t>Novel</t>
  </si>
  <si>
    <t>06-08-2024</t>
  </si>
  <si>
    <t xml:space="preserve">  NEHA MEHTA  </t>
  </si>
  <si>
    <t>neha.mehta@gmail.com</t>
  </si>
  <si>
    <t>9642240985</t>
  </si>
  <si>
    <t>chennai</t>
  </si>
  <si>
    <t>2024-05-19</t>
  </si>
  <si>
    <t>NET BANKING</t>
  </si>
  <si>
    <t>Pooja Yadav</t>
  </si>
  <si>
    <t>pooja.yadav@gmail.com</t>
  </si>
  <si>
    <t>9138192419</t>
  </si>
  <si>
    <t>jaipur</t>
  </si>
  <si>
    <t>Rajasthan</t>
  </si>
  <si>
    <t xml:space="preserve">  sandals  </t>
  </si>
  <si>
    <t>2024-08-22</t>
  </si>
  <si>
    <t>Kavita Joshi</t>
  </si>
  <si>
    <t>kavita.joshi@gmail.com</t>
  </si>
  <si>
    <t>9562212838</t>
  </si>
  <si>
    <t>Jaipur</t>
  </si>
  <si>
    <t>Pen Set</t>
  </si>
  <si>
    <t>04-09-2024</t>
  </si>
  <si>
    <t>debit card</t>
  </si>
  <si>
    <t>DEEPAK GUPTA</t>
  </si>
  <si>
    <t>9688902628</t>
  </si>
  <si>
    <t xml:space="preserve">  KOLKATA  </t>
  </si>
  <si>
    <t>Shampoo</t>
  </si>
  <si>
    <t>2024-12-03</t>
  </si>
  <si>
    <t xml:space="preserve">  ajay patel  </t>
  </si>
  <si>
    <t>ajay.patel@gmail.com</t>
  </si>
  <si>
    <t>9907113623</t>
  </si>
  <si>
    <t>west bengal</t>
  </si>
  <si>
    <t>25-12-2024</t>
  </si>
  <si>
    <t>amit iyer</t>
  </si>
  <si>
    <t>amit.iyer@gmail.com</t>
  </si>
  <si>
    <t>591517</t>
  </si>
  <si>
    <t>RAJASTHAN</t>
  </si>
  <si>
    <t>02/07/2024</t>
  </si>
  <si>
    <t>neha chopra</t>
  </si>
  <si>
    <t>neha.chopra@gmail.com</t>
  </si>
  <si>
    <t>9154418793</t>
  </si>
  <si>
    <t>Ahmedabad</t>
  </si>
  <si>
    <t>GUJARAT</t>
  </si>
  <si>
    <t>smartphone</t>
  </si>
  <si>
    <t>04-02-2024</t>
  </si>
  <si>
    <t xml:space="preserve">  Sanjay Reddy  </t>
  </si>
  <si>
    <t>sanjay.reddy@gmail.com</t>
  </si>
  <si>
    <t>9776263723</t>
  </si>
  <si>
    <t>Kurta</t>
  </si>
  <si>
    <t>09/04/2024</t>
  </si>
  <si>
    <t>POOJA VERMA</t>
  </si>
  <si>
    <t>pooja.verma@gmail.com</t>
  </si>
  <si>
    <t>9177931584</t>
  </si>
  <si>
    <t>Headphones</t>
  </si>
  <si>
    <t>2024/11/02</t>
  </si>
  <si>
    <t>Suresh Reddy</t>
  </si>
  <si>
    <t>suresh.reddygmail.com</t>
  </si>
  <si>
    <t>9617251765</t>
  </si>
  <si>
    <t xml:space="preserve">  AHMEDABAD  </t>
  </si>
  <si>
    <t>2024/07/14</t>
  </si>
  <si>
    <t>Anita Verma</t>
  </si>
  <si>
    <t>anita.verma@gmail.com</t>
  </si>
  <si>
    <t>9622209653</t>
  </si>
  <si>
    <t xml:space="preserve">  Pune  </t>
  </si>
  <si>
    <t>tablet</t>
  </si>
  <si>
    <t>2024/07/29</t>
  </si>
  <si>
    <t>Amit Agarwal</t>
  </si>
  <si>
    <t>amit.agarwal@gmail.com</t>
  </si>
  <si>
    <t>9144471883</t>
  </si>
  <si>
    <t xml:space="preserve">  Hyderabad  </t>
  </si>
  <si>
    <t xml:space="preserve">  NOTEBOOK  </t>
  </si>
  <si>
    <t>07/06/2024</t>
  </si>
  <si>
    <t>Meena Kapoor</t>
  </si>
  <si>
    <t>meena.kapoor@gmail.com</t>
  </si>
  <si>
    <t>9205409416</t>
  </si>
  <si>
    <t>MUMBAI</t>
  </si>
  <si>
    <t>2024/03/25</t>
  </si>
  <si>
    <t>Vikram Agarwal</t>
  </si>
  <si>
    <t>vikram.agarwal@gmail.com</t>
  </si>
  <si>
    <t>9691446936</t>
  </si>
  <si>
    <t>HYDERABAD</t>
  </si>
  <si>
    <t>Telangana</t>
  </si>
  <si>
    <t xml:space="preserve">  jeans  </t>
  </si>
  <si>
    <t>2024/04/18</t>
  </si>
  <si>
    <t>neha shah</t>
  </si>
  <si>
    <t>neha.shah@gmail.com</t>
  </si>
  <si>
    <t>9827600341</t>
  </si>
  <si>
    <t xml:space="preserve">  maharashtra  </t>
  </si>
  <si>
    <t>2024-07-29</t>
  </si>
  <si>
    <t>SNEHA MALHOTRA</t>
  </si>
  <si>
    <t>9173384619</t>
  </si>
  <si>
    <t>JAIPUR</t>
  </si>
  <si>
    <t>03-07-2024</t>
  </si>
  <si>
    <t>VIKRAM AGARWAL</t>
  </si>
  <si>
    <t>9660220966</t>
  </si>
  <si>
    <t>Nagpur</t>
  </si>
  <si>
    <t xml:space="preserve">  MAHARASHTRA  </t>
  </si>
  <si>
    <t>2024-03-06</t>
  </si>
  <si>
    <t>rohit patel</t>
  </si>
  <si>
    <t>rohit.patelgmail.com</t>
  </si>
  <si>
    <t>9324645751</t>
  </si>
  <si>
    <t>Hyderabad</t>
  </si>
  <si>
    <t>Notebook</t>
  </si>
  <si>
    <t>2024/06/03</t>
  </si>
  <si>
    <t>Deepak Malhotra</t>
  </si>
  <si>
    <t>deepak.malhotra@gmail.com</t>
  </si>
  <si>
    <t>9526300333</t>
  </si>
  <si>
    <t>SANDALS</t>
  </si>
  <si>
    <t>23/10/2024</t>
  </si>
  <si>
    <t>9135832556</t>
  </si>
  <si>
    <t xml:space="preserve">  Rajasthan  </t>
  </si>
  <si>
    <t>2024/07/27</t>
  </si>
  <si>
    <t>Swati Yadav</t>
  </si>
  <si>
    <t>swati.yadav@gmail.com</t>
  </si>
  <si>
    <t>9353611362</t>
  </si>
  <si>
    <t xml:space="preserve">  novel  </t>
  </si>
  <si>
    <t>28-03-2024</t>
  </si>
  <si>
    <t>Priya Mehta</t>
  </si>
  <si>
    <t>9818147934</t>
  </si>
  <si>
    <t xml:space="preserve">  ahmedabad  </t>
  </si>
  <si>
    <t>JEANS</t>
  </si>
  <si>
    <t>2024/03/28</t>
  </si>
  <si>
    <t>Suresh Shah</t>
  </si>
  <si>
    <t>suresh.shah@gmail.com</t>
  </si>
  <si>
    <t>9316275430</t>
  </si>
  <si>
    <t>NOVEL</t>
  </si>
  <si>
    <t>17-06-2024</t>
  </si>
  <si>
    <t>amit bhatt</t>
  </si>
  <si>
    <t>amit.bhatt@gmail.com</t>
  </si>
  <si>
    <t>9536820025</t>
  </si>
  <si>
    <t>delhi</t>
  </si>
  <si>
    <t>25-08-2024</t>
  </si>
  <si>
    <t>Divya Gupta</t>
  </si>
  <si>
    <t>125344</t>
  </si>
  <si>
    <t xml:space="preserve">  HEADPHONES  </t>
  </si>
  <si>
    <t>2024-12-29</t>
  </si>
  <si>
    <t>Vikram Bhatt</t>
  </si>
  <si>
    <t>vikram.bhatt@gmail.com</t>
  </si>
  <si>
    <t>9963034674</t>
  </si>
  <si>
    <t>nagpur</t>
  </si>
  <si>
    <t>2024-09-25</t>
  </si>
  <si>
    <t>SURESH CHOPRA</t>
  </si>
  <si>
    <t>suresh.chopra@gmail.com</t>
  </si>
  <si>
    <t>9852211317</t>
  </si>
  <si>
    <t>HEADPHONES</t>
  </si>
  <si>
    <t>2024/08/08</t>
  </si>
  <si>
    <t>amit.malhotragmail.com</t>
  </si>
  <si>
    <t>708136</t>
  </si>
  <si>
    <t xml:space="preserve">  Tamil Nadu  </t>
  </si>
  <si>
    <t>jeans</t>
  </si>
  <si>
    <t>2024-05-07</t>
  </si>
  <si>
    <t>Sneha Iyer</t>
  </si>
  <si>
    <t>sneha.iyer@gmail.com</t>
  </si>
  <si>
    <t>323070</t>
  </si>
  <si>
    <t xml:space="preserve">  telangana  </t>
  </si>
  <si>
    <t>sneakers</t>
  </si>
  <si>
    <t>27/07/2024</t>
  </si>
  <si>
    <t>Pooja Kapoor</t>
  </si>
  <si>
    <t>pooja.kapoor@gmail.com</t>
  </si>
  <si>
    <t>9634209405</t>
  </si>
  <si>
    <t xml:space="preserve">  Jeans  </t>
  </si>
  <si>
    <t>30/05/2024</t>
  </si>
  <si>
    <t>SANJAY PATEL</t>
  </si>
  <si>
    <t>sanjay.patel@gmail.com</t>
  </si>
  <si>
    <t>9731078925</t>
  </si>
  <si>
    <t>Mumbai</t>
  </si>
  <si>
    <t>24/06/2024</t>
  </si>
  <si>
    <t>Amit Shah</t>
  </si>
  <si>
    <t>amit.shah@gmail.com</t>
  </si>
  <si>
    <t>9927628283</t>
  </si>
  <si>
    <t xml:space="preserve">  GUJARAT  </t>
  </si>
  <si>
    <t xml:space="preserve">  SANDALS  </t>
  </si>
  <si>
    <t>01-11-2024</t>
  </si>
  <si>
    <t>Divya Kumar</t>
  </si>
  <si>
    <t>divya.kumar@gmail.com</t>
  </si>
  <si>
    <t>9829770668</t>
  </si>
  <si>
    <t>gujarat</t>
  </si>
  <si>
    <t>2024/05/06</t>
  </si>
  <si>
    <t xml:space="preserve">  vikram bhatt  </t>
  </si>
  <si>
    <t>vikram.bhattgmail.com</t>
  </si>
  <si>
    <t>9597270585</t>
  </si>
  <si>
    <t>26/02/2024</t>
  </si>
  <si>
    <t>VIKRAM BHATT</t>
  </si>
  <si>
    <t>9384704568</t>
  </si>
  <si>
    <t xml:space="preserve">  Maharashtra  </t>
  </si>
  <si>
    <t>2024-08-18</t>
  </si>
  <si>
    <t>Deepak Sharma</t>
  </si>
  <si>
    <t>deepak.sharma@gmail.com</t>
  </si>
  <si>
    <t>9440054877</t>
  </si>
  <si>
    <t>mumbai</t>
  </si>
  <si>
    <t>Jeans</t>
  </si>
  <si>
    <t>2024-12-20</t>
  </si>
  <si>
    <t>9655260468</t>
  </si>
  <si>
    <t>Kolkata</t>
  </si>
  <si>
    <t>2024-12-24</t>
  </si>
  <si>
    <t xml:space="preserve">  Vikram Agarwal  </t>
  </si>
  <si>
    <t>9658498269</t>
  </si>
  <si>
    <t>TABLET</t>
  </si>
  <si>
    <t>2024/03/18</t>
  </si>
  <si>
    <t>9734774527</t>
  </si>
  <si>
    <t>2024-10-16</t>
  </si>
  <si>
    <t>Suresh Malhotra</t>
  </si>
  <si>
    <t>suresh.malhotra@gmail.com</t>
  </si>
  <si>
    <t xml:space="preserve">  laptop  </t>
  </si>
  <si>
    <t>2024-01-20</t>
  </si>
  <si>
    <t>SWATI CHOPRA</t>
  </si>
  <si>
    <t>swati.chopra@gmail.com</t>
  </si>
  <si>
    <t>9105344340</t>
  </si>
  <si>
    <t xml:space="preserve">  RAJASTHAN  </t>
  </si>
  <si>
    <t>2024-11-23</t>
  </si>
  <si>
    <t>suresh patel</t>
  </si>
  <si>
    <t>suresh.patel@gmail.com</t>
  </si>
  <si>
    <t>9304929039</t>
  </si>
  <si>
    <t>Bengaluru</t>
  </si>
  <si>
    <t xml:space="preserve">  karnataka  </t>
  </si>
  <si>
    <t>2024-07-16</t>
  </si>
  <si>
    <t>Amit Iyer</t>
  </si>
  <si>
    <t>9397339986</t>
  </si>
  <si>
    <t>rajasthan</t>
  </si>
  <si>
    <t>SHAMPOO</t>
  </si>
  <si>
    <t>2024-06-10</t>
  </si>
  <si>
    <t>anita kapoor</t>
  </si>
  <si>
    <t>412247</t>
  </si>
  <si>
    <t>pune</t>
  </si>
  <si>
    <t>2024-12-07</t>
  </si>
  <si>
    <t>9550220088</t>
  </si>
  <si>
    <t>Pooja Singh</t>
  </si>
  <si>
    <t>pooja.singh@gmail.com</t>
  </si>
  <si>
    <t>9352050161</t>
  </si>
  <si>
    <t>SMARTPHONE</t>
  </si>
  <si>
    <t>11-08-2024</t>
  </si>
  <si>
    <t xml:space="preserve">  arjun sharma  </t>
  </si>
  <si>
    <t>9139390330</t>
  </si>
  <si>
    <t>Laptop</t>
  </si>
  <si>
    <t>30/04/2024</t>
  </si>
  <si>
    <t>CANCELLED</t>
  </si>
  <si>
    <t>Meena Reddy</t>
  </si>
  <si>
    <t>meena.reddy@gmail.com</t>
  </si>
  <si>
    <t>9892349162</t>
  </si>
  <si>
    <t>WEST BENGAL</t>
  </si>
  <si>
    <t>2024-05-17</t>
  </si>
  <si>
    <t xml:space="preserve">  Neha Malhotra  </t>
  </si>
  <si>
    <t>9910968364</t>
  </si>
  <si>
    <t>19/03/2024</t>
  </si>
  <si>
    <t>vikram bhatt</t>
  </si>
  <si>
    <t>9662052827</t>
  </si>
  <si>
    <t>2024/07/20</t>
  </si>
  <si>
    <t>neha kumar</t>
  </si>
  <si>
    <t>neha.kumar@gmail.com</t>
  </si>
  <si>
    <t>181914</t>
  </si>
  <si>
    <t xml:space="preserve">  Lucknow  </t>
  </si>
  <si>
    <t>Uttar Pradesh</t>
  </si>
  <si>
    <t>11-05-2024</t>
  </si>
  <si>
    <t xml:space="preserve">  Rahul Mehta  </t>
  </si>
  <si>
    <t>rahul.mehta@gmail.com</t>
  </si>
  <si>
    <t>747062</t>
  </si>
  <si>
    <t xml:space="preserve">  ritu kumar  </t>
  </si>
  <si>
    <t>ritu.kumargmail.com</t>
  </si>
  <si>
    <t>9184666314</t>
  </si>
  <si>
    <t>16-03-2024</t>
  </si>
  <si>
    <t>Vikram Yadav</t>
  </si>
  <si>
    <t>vikram.yadavgmail.com</t>
  </si>
  <si>
    <t>9810267791</t>
  </si>
  <si>
    <t>2024-04-26</t>
  </si>
  <si>
    <t>divya chopra</t>
  </si>
  <si>
    <t>divya.chopra@gmail.com</t>
  </si>
  <si>
    <t>9259145178</t>
  </si>
  <si>
    <t>LUCKNOW</t>
  </si>
  <si>
    <t>10/03/2024</t>
  </si>
  <si>
    <t xml:space="preserve">  anita reddy  </t>
  </si>
  <si>
    <t>anita.reddy@gmail.com</t>
  </si>
  <si>
    <t>9745613644</t>
  </si>
  <si>
    <t>25-03-2024</t>
  </si>
  <si>
    <t xml:space="preserve">  sneha malhotra  </t>
  </si>
  <si>
    <t>9601519538</t>
  </si>
  <si>
    <t xml:space="preserve">  Uttar Pradesh  </t>
  </si>
  <si>
    <t>headphones</t>
  </si>
  <si>
    <t>04-03-2024</t>
  </si>
  <si>
    <t>Pending</t>
  </si>
  <si>
    <t>SWATI VERMA</t>
  </si>
  <si>
    <t>swati.verma@gmail.com</t>
  </si>
  <si>
    <t>9878214613</t>
  </si>
  <si>
    <t>sandals</t>
  </si>
  <si>
    <t>24-01-2024</t>
  </si>
  <si>
    <t>Sneha Singh</t>
  </si>
  <si>
    <t>sneha.singh@gmail.com</t>
  </si>
  <si>
    <t>9840623451</t>
  </si>
  <si>
    <t>2024-12-08</t>
  </si>
  <si>
    <t xml:space="preserve">  VIKRAM SINGH  </t>
  </si>
  <si>
    <t>vikram.singhgmail.com</t>
  </si>
  <si>
    <t>9366171436</t>
  </si>
  <si>
    <t xml:space="preserve">  chennai  </t>
  </si>
  <si>
    <t>21-07-2024</t>
  </si>
  <si>
    <t>amit.agarwalgmail.com</t>
  </si>
  <si>
    <t>9838763820</t>
  </si>
  <si>
    <t xml:space="preserve">  CHENNAI  </t>
  </si>
  <si>
    <t>FACE CREAM</t>
  </si>
  <si>
    <t>Divya Singh</t>
  </si>
  <si>
    <t>divya.singhgmail.com</t>
  </si>
  <si>
    <t>959586</t>
  </si>
  <si>
    <t>LAPTOP</t>
  </si>
  <si>
    <t>2024-10-15</t>
  </si>
  <si>
    <t>06/03/2024</t>
  </si>
  <si>
    <t>amit.iyergmail.com</t>
  </si>
  <si>
    <t>9283081129</t>
  </si>
  <si>
    <t>07-05-2024</t>
  </si>
  <si>
    <t xml:space="preserve">  Rahul Patel  </t>
  </si>
  <si>
    <t>rahul.patel@gmail.com</t>
  </si>
  <si>
    <t>2024/06/20</t>
  </si>
  <si>
    <t>ajay agarwal</t>
  </si>
  <si>
    <t>9306817014</t>
  </si>
  <si>
    <t>10/12/2024</t>
  </si>
  <si>
    <t>Rahul Sharma</t>
  </si>
  <si>
    <t>rahul.sharma@gmail.com</t>
  </si>
  <si>
    <t>9225925001</t>
  </si>
  <si>
    <t xml:space="preserve">  Sandals  </t>
  </si>
  <si>
    <t>2024/03/10</t>
  </si>
  <si>
    <t xml:space="preserve">  Divya Yadav  </t>
  </si>
  <si>
    <t>divya.yadav@gmail.com</t>
  </si>
  <si>
    <t>9439212093</t>
  </si>
  <si>
    <t>2024-09-10</t>
  </si>
  <si>
    <t>Aarav Yadav</t>
  </si>
  <si>
    <t>9977908582</t>
  </si>
  <si>
    <t>2024-02-07</t>
  </si>
  <si>
    <t>amit.malhotra@gmail.com</t>
  </si>
  <si>
    <t>9132167452</t>
  </si>
  <si>
    <t>2024-12-13</t>
  </si>
  <si>
    <t>aarav malhotra</t>
  </si>
  <si>
    <t>aarav.malhotra@gmail.com</t>
  </si>
  <si>
    <t>9601644923</t>
  </si>
  <si>
    <t xml:space="preserve">  UTTAR PRADESH  </t>
  </si>
  <si>
    <t>2024/03/17</t>
  </si>
  <si>
    <t>NEHA KUMAR</t>
  </si>
  <si>
    <t>9665078825</t>
  </si>
  <si>
    <t>9280467098</t>
  </si>
  <si>
    <t>2024/06/29</t>
  </si>
  <si>
    <t xml:space="preserve">  Pooja Nair  </t>
  </si>
  <si>
    <t>pooja.nair@gmail.com</t>
  </si>
  <si>
    <t>9273427348</t>
  </si>
  <si>
    <t>2024-11-26</t>
  </si>
  <si>
    <t>9590650511</t>
  </si>
  <si>
    <t>07/10/2024</t>
  </si>
  <si>
    <t>Anita Bhatt</t>
  </si>
  <si>
    <t>anita.bhatt@gmail.com</t>
  </si>
  <si>
    <t>794988</t>
  </si>
  <si>
    <t>2024-10-23</t>
  </si>
  <si>
    <t>Priya Chopra</t>
  </si>
  <si>
    <t>priya.chopra@gmail.com</t>
  </si>
  <si>
    <t>29-04-2024</t>
  </si>
  <si>
    <t>POOJA NAIR</t>
  </si>
  <si>
    <t>9483465870</t>
  </si>
  <si>
    <t>05-07-2024</t>
  </si>
  <si>
    <t xml:space="preserve">  Suresh Chopra  </t>
  </si>
  <si>
    <t>9531675037</t>
  </si>
  <si>
    <t xml:space="preserve">  Surat  </t>
  </si>
  <si>
    <t>t-shirt</t>
  </si>
  <si>
    <t>13/10/2024</t>
  </si>
  <si>
    <t xml:space="preserve">  Ajay Patel  </t>
  </si>
  <si>
    <t>9763765832</t>
  </si>
  <si>
    <t>2024-11-30</t>
  </si>
  <si>
    <t>Rahul Mehta</t>
  </si>
  <si>
    <t>9376094659</t>
  </si>
  <si>
    <t>18-10-2024</t>
  </si>
  <si>
    <t>Ajay Mehta</t>
  </si>
  <si>
    <t>9946247477</t>
  </si>
  <si>
    <t>lucknow</t>
  </si>
  <si>
    <t xml:space="preserve">  Laptop  </t>
  </si>
  <si>
    <t>2024-07-24</t>
  </si>
  <si>
    <t xml:space="preserve">  Suresh Shah  </t>
  </si>
  <si>
    <t>9785899176</t>
  </si>
  <si>
    <t>2024-01-15</t>
  </si>
  <si>
    <t>ritu kumar</t>
  </si>
  <si>
    <t>9508645167</t>
  </si>
  <si>
    <t>2024-09-06</t>
  </si>
  <si>
    <t>vikram kumar</t>
  </si>
  <si>
    <t>9805304296</t>
  </si>
  <si>
    <t>2024-01-14</t>
  </si>
  <si>
    <t>SNEHA SHARMA</t>
  </si>
  <si>
    <t>sneha.sharma@gmail.com</t>
  </si>
  <si>
    <t>9306383063</t>
  </si>
  <si>
    <t xml:space="preserve">  Jaipur  </t>
  </si>
  <si>
    <t>28-02-2024</t>
  </si>
  <si>
    <t>upi</t>
  </si>
  <si>
    <t>Rahul Malhotra</t>
  </si>
  <si>
    <t>9691895160</t>
  </si>
  <si>
    <t>KARNATAKA</t>
  </si>
  <si>
    <t>2024-02-01</t>
  </si>
  <si>
    <t xml:space="preserve">  RITU YADAV  </t>
  </si>
  <si>
    <t>ritu.yadav@gmail.com</t>
  </si>
  <si>
    <t>25/11/2024</t>
  </si>
  <si>
    <t xml:space="preserve">  Pooja Joshi  </t>
  </si>
  <si>
    <t>pooja.joshi@gmail.com</t>
  </si>
  <si>
    <t>9648189996</t>
  </si>
  <si>
    <t>2024/03/07</t>
  </si>
  <si>
    <t>PUNE</t>
  </si>
  <si>
    <t>2024/06/30</t>
  </si>
  <si>
    <t>Rahul Patel</t>
  </si>
  <si>
    <t>9785805442</t>
  </si>
  <si>
    <t xml:space="preserve">  Telangana  </t>
  </si>
  <si>
    <t>08/08/2024</t>
  </si>
  <si>
    <t>Divya Nair</t>
  </si>
  <si>
    <t>divya.nair@gmail.com</t>
  </si>
  <si>
    <t>9791246107</t>
  </si>
  <si>
    <t>09-03-2024</t>
  </si>
  <si>
    <t>PRIYA MALHOTRA</t>
  </si>
  <si>
    <t>priya.malhotra@gmail.com</t>
  </si>
  <si>
    <t xml:space="preserve">  jaipur  </t>
  </si>
  <si>
    <t>Kavita Chopra</t>
  </si>
  <si>
    <t>9179916401</t>
  </si>
  <si>
    <t xml:space="preserve">  SMARTWATCH  </t>
  </si>
  <si>
    <t>2024/01/19</t>
  </si>
  <si>
    <t>vikram sharma</t>
  </si>
  <si>
    <t>vikram.sharma@gmail.com</t>
  </si>
  <si>
    <t>9351032723</t>
  </si>
  <si>
    <t xml:space="preserve">  pune  </t>
  </si>
  <si>
    <t>2024/12/31</t>
  </si>
  <si>
    <t>AMIT MALHOTRA</t>
  </si>
  <si>
    <t>926664</t>
  </si>
  <si>
    <t xml:space="preserve">  TAMIL NADU  </t>
  </si>
  <si>
    <t>2024/11/11</t>
  </si>
  <si>
    <t>Amit Nair</t>
  </si>
  <si>
    <t>amit.nair@gmail.com</t>
  </si>
  <si>
    <t>9196780688</t>
  </si>
  <si>
    <t>T-SHIRT</t>
  </si>
  <si>
    <t>2024-09-15</t>
  </si>
  <si>
    <t>Suresh Patel</t>
  </si>
  <si>
    <t>9304242721</t>
  </si>
  <si>
    <t>2024/05/03</t>
  </si>
  <si>
    <t xml:space="preserve">  Priya Patel  </t>
  </si>
  <si>
    <t>272655</t>
  </si>
  <si>
    <t>2024/07/07</t>
  </si>
  <si>
    <t>AMIT REDDY</t>
  </si>
  <si>
    <t>amit.reddy@gmail.com</t>
  </si>
  <si>
    <t>9546473972</t>
  </si>
  <si>
    <t>13-03-2024</t>
  </si>
  <si>
    <t>amit malhotra</t>
  </si>
  <si>
    <t>9100770407</t>
  </si>
  <si>
    <t xml:space="preserve">  delhi  </t>
  </si>
  <si>
    <t>2024/09/06</t>
  </si>
  <si>
    <t>ritu singh</t>
  </si>
  <si>
    <t>ritu.singh@gmail.com</t>
  </si>
  <si>
    <t>9120332160</t>
  </si>
  <si>
    <t>2024-03-04</t>
  </si>
  <si>
    <t>Sanjay Agarwal</t>
  </si>
  <si>
    <t>sanjay.agarwal@gmail.com</t>
  </si>
  <si>
    <t>9332207692</t>
  </si>
  <si>
    <t>2024/05/01</t>
  </si>
  <si>
    <t>AJAY PATEL</t>
  </si>
  <si>
    <t>9365791233</t>
  </si>
  <si>
    <t>2024/01/18</t>
  </si>
  <si>
    <t>ritu desai</t>
  </si>
  <si>
    <t>ritu.desai@gmail.com</t>
  </si>
  <si>
    <t>9429018070</t>
  </si>
  <si>
    <t>Arjun Shah</t>
  </si>
  <si>
    <t>arjun.shah@gmail.com</t>
  </si>
  <si>
    <t>9567505465</t>
  </si>
  <si>
    <t>24/08/2024</t>
  </si>
  <si>
    <t>9337836182</t>
  </si>
  <si>
    <t>2024/04/15</t>
  </si>
  <si>
    <t>9998605466</t>
  </si>
  <si>
    <t>16/03/2024</t>
  </si>
  <si>
    <t>Neha Singh</t>
  </si>
  <si>
    <t>neha.singh@gmail.com</t>
  </si>
  <si>
    <t>482991</t>
  </si>
  <si>
    <t>kurta</t>
  </si>
  <si>
    <t>21/01/2024</t>
  </si>
  <si>
    <t>Arjun Nair</t>
  </si>
  <si>
    <t>arjun.nair@gmail.com</t>
  </si>
  <si>
    <t>9644575724</t>
  </si>
  <si>
    <t>02/04/2024</t>
  </si>
  <si>
    <t>9349638777</t>
  </si>
  <si>
    <t xml:space="preserve">  Tablet  </t>
  </si>
  <si>
    <t>2024-09-14</t>
  </si>
  <si>
    <t>Suresh Chopra</t>
  </si>
  <si>
    <t>9817567510</t>
  </si>
  <si>
    <t>2024/03/20</t>
  </si>
  <si>
    <t>sanjay nair</t>
  </si>
  <si>
    <t>sanjay.nair@gmail.com</t>
  </si>
  <si>
    <t>938787</t>
  </si>
  <si>
    <t>2024/03/31</t>
  </si>
  <si>
    <t>Arjun Kumar</t>
  </si>
  <si>
    <t xml:space="preserve">  tablet  </t>
  </si>
  <si>
    <t>02-08-2024</t>
  </si>
  <si>
    <t>Sanjay Chopra</t>
  </si>
  <si>
    <t>sanjay.chopra@gmail.com</t>
  </si>
  <si>
    <t>9880161527</t>
  </si>
  <si>
    <t>09/07/2024</t>
  </si>
  <si>
    <t>rahul patel</t>
  </si>
  <si>
    <t>9555707632</t>
  </si>
  <si>
    <t xml:space="preserve">  gujarat  </t>
  </si>
  <si>
    <t>06/08/2024</t>
  </si>
  <si>
    <t>aarav kapoor</t>
  </si>
  <si>
    <t>aarav.kapoor@gmail.com</t>
  </si>
  <si>
    <t xml:space="preserve">  surat  </t>
  </si>
  <si>
    <t>smartwatch</t>
  </si>
  <si>
    <t>09-10-2024</t>
  </si>
  <si>
    <t>Rahul Verma</t>
  </si>
  <si>
    <t>rahul.verma@gmail.com</t>
  </si>
  <si>
    <t>9329793562</t>
  </si>
  <si>
    <t xml:space="preserve">  Ahmedabad  </t>
  </si>
  <si>
    <t xml:space="preserve">  smartphone  </t>
  </si>
  <si>
    <t>17-05-2024</t>
  </si>
  <si>
    <t xml:space="preserve">  VIKRAM YADAV  </t>
  </si>
  <si>
    <t>vikram.yadav@gmail.com</t>
  </si>
  <si>
    <t>9764047272</t>
  </si>
  <si>
    <t>05-11-2024</t>
  </si>
  <si>
    <t>837497</t>
  </si>
  <si>
    <t>2024-08-25</t>
  </si>
  <si>
    <t>RITU IYER</t>
  </si>
  <si>
    <t>ritu.iyer@gmail.com</t>
  </si>
  <si>
    <t>9413275359</t>
  </si>
  <si>
    <t>04-01-2024</t>
  </si>
  <si>
    <t>9136442363</t>
  </si>
  <si>
    <t>2024-07-02</t>
  </si>
  <si>
    <t>meena verma</t>
  </si>
  <si>
    <t>meena.verma@gmail.com</t>
  </si>
  <si>
    <t>9399194754</t>
  </si>
  <si>
    <t>08/06/2024</t>
  </si>
  <si>
    <t>RITU YADAV</t>
  </si>
  <si>
    <t>939085</t>
  </si>
  <si>
    <t>2024/07/18</t>
  </si>
  <si>
    <t>AARAV MALHOTRA</t>
  </si>
  <si>
    <t>9572431101</t>
  </si>
  <si>
    <t xml:space="preserve">  Kolkata  </t>
  </si>
  <si>
    <t>2024/05/05</t>
  </si>
  <si>
    <t xml:space="preserve">  AJAY IYER  </t>
  </si>
  <si>
    <t>ajay.iyer@gmail.com</t>
  </si>
  <si>
    <t>9215708870</t>
  </si>
  <si>
    <t xml:space="preserve">  NOVEL  </t>
  </si>
  <si>
    <t>Deepak Yadav</t>
  </si>
  <si>
    <t>deepak.yadav@gmail.com</t>
  </si>
  <si>
    <t>955763</t>
  </si>
  <si>
    <t xml:space="preserve">  t-shirt  </t>
  </si>
  <si>
    <t>2024-10-03</t>
  </si>
  <si>
    <t>KAVITA PATEL</t>
  </si>
  <si>
    <t>kavita.patel@gmail.com</t>
  </si>
  <si>
    <t>9744136754</t>
  </si>
  <si>
    <t>16-02-2024</t>
  </si>
  <si>
    <t>Neha Chopra</t>
  </si>
  <si>
    <t>neha.chopragmail.com</t>
  </si>
  <si>
    <t>9818497006</t>
  </si>
  <si>
    <t>22/06/2024</t>
  </si>
  <si>
    <t>9586637703</t>
  </si>
  <si>
    <t>2024/07/08</t>
  </si>
  <si>
    <t>Swati Verma</t>
  </si>
  <si>
    <t>swati.vermagmail.com</t>
  </si>
  <si>
    <t>9256935296</t>
  </si>
  <si>
    <t>vikram agarwal</t>
  </si>
  <si>
    <t>9347760520</t>
  </si>
  <si>
    <t>2024-12-31</t>
  </si>
  <si>
    <t>SURESH BHATT</t>
  </si>
  <si>
    <t>suresh.bhatt@gmail.com</t>
  </si>
  <si>
    <t>9277850531</t>
  </si>
  <si>
    <t>2024/03/29</t>
  </si>
  <si>
    <t xml:space="preserve">  deepak malhotra  </t>
  </si>
  <si>
    <t>9354499343</t>
  </si>
  <si>
    <t xml:space="preserve">  lucknow  </t>
  </si>
  <si>
    <t>04/12/2024</t>
  </si>
  <si>
    <t>SANJAY MEHTA</t>
  </si>
  <si>
    <t>9902516528</t>
  </si>
  <si>
    <t>AHMEDABAD</t>
  </si>
  <si>
    <t>21/02/2024</t>
  </si>
  <si>
    <t>9991382664</t>
  </si>
  <si>
    <t xml:space="preserve">  Amit Nair  </t>
  </si>
  <si>
    <t>amit.nairgmail.com</t>
  </si>
  <si>
    <t>9182326750</t>
  </si>
  <si>
    <t>04-10-2024</t>
  </si>
  <si>
    <t>AARAV MEHTA</t>
  </si>
  <si>
    <t>aarav.mehta@gmail.com</t>
  </si>
  <si>
    <t>9743278416</t>
  </si>
  <si>
    <t>2024-10-10</t>
  </si>
  <si>
    <t>Ajay Shah</t>
  </si>
  <si>
    <t>ajay.shah@gmail.com</t>
  </si>
  <si>
    <t>9869029691</t>
  </si>
  <si>
    <t>2024-08-28</t>
  </si>
  <si>
    <t>DEEPAK MALHOTRA</t>
  </si>
  <si>
    <t>9558861992</t>
  </si>
  <si>
    <t>2024-10-06</t>
  </si>
  <si>
    <t>ROHIT DESAI</t>
  </si>
  <si>
    <t>rohit.desai@gmail.com</t>
  </si>
  <si>
    <t>9132634873</t>
  </si>
  <si>
    <t>11-11-2024</t>
  </si>
  <si>
    <t>suresh.reddy@gmail.com</t>
  </si>
  <si>
    <t>9375622648</t>
  </si>
  <si>
    <t>2024/02/29</t>
  </si>
  <si>
    <t>Neha Mehta</t>
  </si>
  <si>
    <t>2024-09-03</t>
  </si>
  <si>
    <t>Divya Sharma</t>
  </si>
  <si>
    <t>9820472833</t>
  </si>
  <si>
    <t xml:space="preserve">  JAIPUR  </t>
  </si>
  <si>
    <t>12/01/2024</t>
  </si>
  <si>
    <t>arjun iyer</t>
  </si>
  <si>
    <t>arjun.iyergmail.com</t>
  </si>
  <si>
    <t>9553575931</t>
  </si>
  <si>
    <t>2024/05/27</t>
  </si>
  <si>
    <t xml:space="preserve">  priya reddy  </t>
  </si>
  <si>
    <t>priya.reddy@gmail.com</t>
  </si>
  <si>
    <t>9232705251</t>
  </si>
  <si>
    <t>TELANGANA</t>
  </si>
  <si>
    <t>2024-11-21</t>
  </si>
  <si>
    <t>Rohit Kapoor</t>
  </si>
  <si>
    <t>9506461441</t>
  </si>
  <si>
    <t>2024/12/19</t>
  </si>
  <si>
    <t>9558981118</t>
  </si>
  <si>
    <t>9399557005</t>
  </si>
  <si>
    <t>2024-08-15</t>
  </si>
  <si>
    <t>9873731288</t>
  </si>
  <si>
    <t>PRIYA REDDY</t>
  </si>
  <si>
    <t>9645272108</t>
  </si>
  <si>
    <t>15/02/2024</t>
  </si>
  <si>
    <t>pooja.nairgmail.com</t>
  </si>
  <si>
    <t>9810054432</t>
  </si>
  <si>
    <t>2024/08/01</t>
  </si>
  <si>
    <t>9212400119</t>
  </si>
  <si>
    <t>2024-06-03</t>
  </si>
  <si>
    <t>Sanjay Desai</t>
  </si>
  <si>
    <t>2024/07/09</t>
  </si>
  <si>
    <t>Ajay Patel</t>
  </si>
  <si>
    <t>31-01-2024</t>
  </si>
  <si>
    <t>amit agarwal</t>
  </si>
  <si>
    <t>9143247928</t>
  </si>
  <si>
    <t>2024-06-11</t>
  </si>
  <si>
    <t>Amit Reddy</t>
  </si>
  <si>
    <t>9676465630</t>
  </si>
  <si>
    <t xml:space="preserve">  West Bengal  </t>
  </si>
  <si>
    <t>2024-07-13</t>
  </si>
  <si>
    <t>AMIT BHATT</t>
  </si>
  <si>
    <t>9714024604</t>
  </si>
  <si>
    <t>09/05/2024</t>
  </si>
  <si>
    <t>Neha Bhatt</t>
  </si>
  <si>
    <t>neha.bhatt@gmail.com</t>
  </si>
  <si>
    <t>9531980207</t>
  </si>
  <si>
    <t>2024/02/17</t>
  </si>
  <si>
    <t>arjun agarwal</t>
  </si>
  <si>
    <t>9522897890</t>
  </si>
  <si>
    <t>21/08/2024</t>
  </si>
  <si>
    <t>cancelled</t>
  </si>
  <si>
    <t>9728866278</t>
  </si>
  <si>
    <t xml:space="preserve">  LAPTOP  </t>
  </si>
  <si>
    <t>2024-11-22</t>
  </si>
  <si>
    <t xml:space="preserve">  Ritu Joshi  </t>
  </si>
  <si>
    <t>ritu.joshi@gmail.com</t>
  </si>
  <si>
    <t>9900405988</t>
  </si>
  <si>
    <t>30-01-2024</t>
  </si>
  <si>
    <t>Pooja Rao</t>
  </si>
  <si>
    <t>pooja.rao@gmail.com</t>
  </si>
  <si>
    <t>9100354435</t>
  </si>
  <si>
    <t>2024/11/04</t>
  </si>
  <si>
    <t>SANJAY AGARWAL</t>
  </si>
  <si>
    <t>9284698769</t>
  </si>
  <si>
    <t>16-08-2024</t>
  </si>
  <si>
    <t>kavita.reddy@gmail.com</t>
  </si>
  <si>
    <t>9890106903</t>
  </si>
  <si>
    <t>31/03/2024</t>
  </si>
  <si>
    <t>Rohit Shah</t>
  </si>
  <si>
    <t>rohit.shah@gmail.com</t>
  </si>
  <si>
    <t>9587889081</t>
  </si>
  <si>
    <t xml:space="preserve">  smartwatch  </t>
  </si>
  <si>
    <t>2024-08-29</t>
  </si>
  <si>
    <t>9985118217</t>
  </si>
  <si>
    <t>2024/04/17</t>
  </si>
  <si>
    <t xml:space="preserve">  ajay gupta  </t>
  </si>
  <si>
    <t>9511016062</t>
  </si>
  <si>
    <t>2024/12/23</t>
  </si>
  <si>
    <t>suresh malhotra</t>
  </si>
  <si>
    <t>555530</t>
  </si>
  <si>
    <t>2024/03/13</t>
  </si>
  <si>
    <t>Kavita Mehta</t>
  </si>
  <si>
    <t>kavita.mehta@gmail.com</t>
  </si>
  <si>
    <t>9103793379</t>
  </si>
  <si>
    <t>02-10-2024</t>
  </si>
  <si>
    <t>Ritu Singh</t>
  </si>
  <si>
    <t>9893061968</t>
  </si>
  <si>
    <t xml:space="preserve">  rajasthan  </t>
  </si>
  <si>
    <t>151723</t>
  </si>
  <si>
    <t>03/02/2024</t>
  </si>
  <si>
    <t>Sneha Gupta</t>
  </si>
  <si>
    <t>sneha.gupta@gmail.com</t>
  </si>
  <si>
    <t>9616196985</t>
  </si>
  <si>
    <t>2024-09-29</t>
  </si>
  <si>
    <t>AMIT AGARWAL</t>
  </si>
  <si>
    <t>9299010179</t>
  </si>
  <si>
    <t xml:space="preserve">  TABLET  </t>
  </si>
  <si>
    <t>03/07/2024</t>
  </si>
  <si>
    <t>9866343133</t>
  </si>
  <si>
    <t>30/03/2024</t>
  </si>
  <si>
    <t xml:space="preserve">  Aarav Mehta  </t>
  </si>
  <si>
    <t>9291987067</t>
  </si>
  <si>
    <t>28-01-2024</t>
  </si>
  <si>
    <t>VIKRAM SHARMA</t>
  </si>
  <si>
    <t>9270505471</t>
  </si>
  <si>
    <t>04/09/2024</t>
  </si>
  <si>
    <t>Pooja Desai</t>
  </si>
  <si>
    <t>pooja.desai@gmail.com</t>
  </si>
  <si>
    <t>9764752200</t>
  </si>
  <si>
    <t>2024-01-10</t>
  </si>
  <si>
    <t xml:space="preserve">  SURESH PATEL  </t>
  </si>
  <si>
    <t>9535728903</t>
  </si>
  <si>
    <t xml:space="preserve">  tamil nadu  </t>
  </si>
  <si>
    <t>2024/04/03</t>
  </si>
  <si>
    <t>Divya Shah</t>
  </si>
  <si>
    <t>divya.shah@gmail.com</t>
  </si>
  <si>
    <t>9979708597</t>
  </si>
  <si>
    <t xml:space="preserve">  TELANGANA  </t>
  </si>
  <si>
    <t>25/04/2024</t>
  </si>
  <si>
    <t>Sanjay Patel</t>
  </si>
  <si>
    <t>sanjay.patelgmail.com</t>
  </si>
  <si>
    <t>9481477188</t>
  </si>
  <si>
    <t>UTTAR PRADESH</t>
  </si>
  <si>
    <t>2024/01/23</t>
  </si>
  <si>
    <t>amit reddy</t>
  </si>
  <si>
    <t>02/10/2024</t>
  </si>
  <si>
    <t>ARJUN MALHOTRA</t>
  </si>
  <si>
    <t>arjun.malhotragmail.com</t>
  </si>
  <si>
    <t>9307166098</t>
  </si>
  <si>
    <t xml:space="preserve">  Mumbai  </t>
  </si>
  <si>
    <t xml:space="preserve">  SNEAKERS  </t>
  </si>
  <si>
    <t>26-03-2024</t>
  </si>
  <si>
    <t>Deepak Verma</t>
  </si>
  <si>
    <t>deepak.verma@gmail.com</t>
  </si>
  <si>
    <t>576394</t>
  </si>
  <si>
    <t>TAMIL NADU</t>
  </si>
  <si>
    <t>22/12/2024</t>
  </si>
  <si>
    <t>Rahul Singh</t>
  </si>
  <si>
    <t>rahul.singh@gmail.com</t>
  </si>
  <si>
    <t>9984935328</t>
  </si>
  <si>
    <t>bengaluru</t>
  </si>
  <si>
    <t>16-11-2024</t>
  </si>
  <si>
    <t>Neha Nair</t>
  </si>
  <si>
    <t>neha.nair@gmail.com</t>
  </si>
  <si>
    <t>9935833886</t>
  </si>
  <si>
    <t>18/05/2024</t>
  </si>
  <si>
    <t>9125612612</t>
  </si>
  <si>
    <t>Pooja Patel</t>
  </si>
  <si>
    <t>pooja.patel@gmail.com</t>
  </si>
  <si>
    <t>9543793347</t>
  </si>
  <si>
    <t>2024/09/25</t>
  </si>
  <si>
    <t>9312793303</t>
  </si>
  <si>
    <t>2024/04/01</t>
  </si>
  <si>
    <t>ajay.kapoorgmail.com</t>
  </si>
  <si>
    <t>2024-08-24</t>
  </si>
  <si>
    <t>Rohit Kumar</t>
  </si>
  <si>
    <t>rohit.kumar@gmail.com</t>
  </si>
  <si>
    <t>118560</t>
  </si>
  <si>
    <t>16-04-2024</t>
  </si>
  <si>
    <t>Sanjay Malhotra</t>
  </si>
  <si>
    <t>sanjay.malhotra@gmail.com</t>
  </si>
  <si>
    <t>9170659454</t>
  </si>
  <si>
    <t>07-07-2024</t>
  </si>
  <si>
    <t>ARJUN CHOPRA</t>
  </si>
  <si>
    <t>arjun.chopra@gmail.com</t>
  </si>
  <si>
    <t>9254464500</t>
  </si>
  <si>
    <t>05/02/2024</t>
  </si>
  <si>
    <t>9935431932</t>
  </si>
  <si>
    <t>2024-04-25</t>
  </si>
  <si>
    <t>9280764555</t>
  </si>
  <si>
    <t>9935208824</t>
  </si>
  <si>
    <t>2024/02/13</t>
  </si>
  <si>
    <t>Priya Desai</t>
  </si>
  <si>
    <t>priya.desai@gmail.com</t>
  </si>
  <si>
    <t>9237916858</t>
  </si>
  <si>
    <t>24-08-2024</t>
  </si>
  <si>
    <t>Vikram Sharma</t>
  </si>
  <si>
    <t>358208</t>
  </si>
  <si>
    <t>2024-09-16</t>
  </si>
  <si>
    <t>RAHUL MEHTA</t>
  </si>
  <si>
    <t>9689233432</t>
  </si>
  <si>
    <t>2024/07/13</t>
  </si>
  <si>
    <t>pooja desai</t>
  </si>
  <si>
    <t>9610489751</t>
  </si>
  <si>
    <t>18-03-2024</t>
  </si>
  <si>
    <t>9403341050</t>
  </si>
  <si>
    <t xml:space="preserve">  Smartwatch  </t>
  </si>
  <si>
    <t>9750358361</t>
  </si>
  <si>
    <t>2024-04-11</t>
  </si>
  <si>
    <t>suresh chopra</t>
  </si>
  <si>
    <t xml:space="preserve">  Novel  </t>
  </si>
  <si>
    <t>23/01/2024</t>
  </si>
  <si>
    <t>AJAY SHAH</t>
  </si>
  <si>
    <t>9466283190</t>
  </si>
  <si>
    <t xml:space="preserve">  Smartphone  </t>
  </si>
  <si>
    <t>15-04-2024</t>
  </si>
  <si>
    <t>9269980483</t>
  </si>
  <si>
    <t>AMIT SHAH</t>
  </si>
  <si>
    <t>9589101258</t>
  </si>
  <si>
    <t>AMIT NAIR</t>
  </si>
  <si>
    <t>9408049449</t>
  </si>
  <si>
    <t xml:space="preserve">  bengaluru  </t>
  </si>
  <si>
    <t>9823531862</t>
  </si>
  <si>
    <t>04/02/2024</t>
  </si>
  <si>
    <t>Priya Reddy</t>
  </si>
  <si>
    <t>priya.reddygmail.com</t>
  </si>
  <si>
    <t>9146031615</t>
  </si>
  <si>
    <t>2024/01/27</t>
  </si>
  <si>
    <t>9660557847</t>
  </si>
  <si>
    <t>ANITA KAPOOR</t>
  </si>
  <si>
    <t>9777613979</t>
  </si>
  <si>
    <t>divya gupta</t>
  </si>
  <si>
    <t>rahul singh</t>
  </si>
  <si>
    <t>9410817778</t>
  </si>
  <si>
    <t>15/10/2024</t>
  </si>
  <si>
    <t>9594229486</t>
  </si>
  <si>
    <t>2024/06/01</t>
  </si>
  <si>
    <t>Vikram Kumar</t>
  </si>
  <si>
    <t>vikram.kumar@gmail.com</t>
  </si>
  <si>
    <t>9295723142</t>
  </si>
  <si>
    <t xml:space="preserve">  JEANS  </t>
  </si>
  <si>
    <t>15-06-2024</t>
  </si>
  <si>
    <t>pooja.desaigmail.com</t>
  </si>
  <si>
    <t>9835305412</t>
  </si>
  <si>
    <t>2024-01-22</t>
  </si>
  <si>
    <t xml:space="preserve">  NEHA KUMAR  </t>
  </si>
  <si>
    <t>9569998234</t>
  </si>
  <si>
    <t>17-04-2024</t>
  </si>
  <si>
    <t>9455051388</t>
  </si>
  <si>
    <t>15-03-2024</t>
  </si>
  <si>
    <t>9433368129</t>
  </si>
  <si>
    <t>2024-06-21</t>
  </si>
  <si>
    <t>meena nair</t>
  </si>
  <si>
    <t>meena.nair@gmail.com</t>
  </si>
  <si>
    <t>9273647152</t>
  </si>
  <si>
    <t>25-09-2024</t>
  </si>
  <si>
    <t>213449</t>
  </si>
  <si>
    <t>ritu yadav</t>
  </si>
  <si>
    <t>9547894730</t>
  </si>
  <si>
    <t xml:space="preserve">  hyderabad  </t>
  </si>
  <si>
    <t>PEN SET</t>
  </si>
  <si>
    <t>9518825140</t>
  </si>
  <si>
    <t>434449</t>
  </si>
  <si>
    <t xml:space="preserve">  sneakers  </t>
  </si>
  <si>
    <t>2024/02/24</t>
  </si>
  <si>
    <t>9845996928</t>
  </si>
  <si>
    <t>2024-01-26</t>
  </si>
  <si>
    <t>Kavita Patel</t>
  </si>
  <si>
    <t>9998463507</t>
  </si>
  <si>
    <t>2024-02-16</t>
  </si>
  <si>
    <t>Pooja Nair</t>
  </si>
  <si>
    <t>9295651648</t>
  </si>
  <si>
    <t>08-02-2024</t>
  </si>
  <si>
    <t>meena.reddygmail.com</t>
  </si>
  <si>
    <t>9253404039</t>
  </si>
  <si>
    <t>16/02/2024</t>
  </si>
  <si>
    <t>rohit.patel@gmail.com</t>
  </si>
  <si>
    <t>9763230761</t>
  </si>
  <si>
    <t>9798046200</t>
  </si>
  <si>
    <t>vikram desai</t>
  </si>
  <si>
    <t>vikram.desai@gmail.com</t>
  </si>
  <si>
    <t>9451902034</t>
  </si>
  <si>
    <t>19/01/2024</t>
  </si>
  <si>
    <t xml:space="preserve">  ANITA VERMA  </t>
  </si>
  <si>
    <t>9880563190</t>
  </si>
  <si>
    <t>rahul malhotra</t>
  </si>
  <si>
    <t>rahul.malhotra@gmail.com</t>
  </si>
  <si>
    <t>9255244673</t>
  </si>
  <si>
    <t xml:space="preserve">  SMARTPHONE  </t>
  </si>
  <si>
    <t>2024/02/15</t>
  </si>
  <si>
    <t>Arjun Chopra</t>
  </si>
  <si>
    <t>9874226315</t>
  </si>
  <si>
    <t>20/03/2024</t>
  </si>
  <si>
    <t>9823107161</t>
  </si>
  <si>
    <t>06/12/2024</t>
  </si>
  <si>
    <t>9500355617</t>
  </si>
  <si>
    <t>neha nair</t>
  </si>
  <si>
    <t>9208728883</t>
  </si>
  <si>
    <t>2024/02/06</t>
  </si>
  <si>
    <t>Meena Verma</t>
  </si>
  <si>
    <t>9515370656</t>
  </si>
  <si>
    <t>13-08-2024</t>
  </si>
  <si>
    <t>Anita Nair</t>
  </si>
  <si>
    <t>anita.nair@gmail.com</t>
  </si>
  <si>
    <t>9856811521</t>
  </si>
  <si>
    <t xml:space="preserve">  mumbai  </t>
  </si>
  <si>
    <t>28/11/2024</t>
  </si>
  <si>
    <t>Pooja Verma</t>
  </si>
  <si>
    <t>9841018185</t>
  </si>
  <si>
    <t xml:space="preserve">  Vikram Sharma  </t>
  </si>
  <si>
    <t>9484205303</t>
  </si>
  <si>
    <t>Meena Malhotra</t>
  </si>
  <si>
    <t>meena.malhotra@gmail.com</t>
  </si>
  <si>
    <t>9942442669</t>
  </si>
  <si>
    <t>2024-12-04</t>
  </si>
  <si>
    <t>kavita patel</t>
  </si>
  <si>
    <t>9556457660</t>
  </si>
  <si>
    <t>18-04-2024</t>
  </si>
  <si>
    <t xml:space="preserve">  SANJAY REDDY  </t>
  </si>
  <si>
    <t>9634876828</t>
  </si>
  <si>
    <t>2024-11-03</t>
  </si>
  <si>
    <t>9211197032</t>
  </si>
  <si>
    <t>2024/01/26</t>
  </si>
  <si>
    <t xml:space="preserve">  Divya Shah  </t>
  </si>
  <si>
    <t>9371653432</t>
  </si>
  <si>
    <t>06-07-2024</t>
  </si>
  <si>
    <t>9558535797</t>
  </si>
  <si>
    <t>2024-11-02</t>
  </si>
  <si>
    <t>Aarav Malhotra</t>
  </si>
  <si>
    <t>9908750500</t>
  </si>
  <si>
    <t>02-04-2024</t>
  </si>
  <si>
    <t>aarav joshi</t>
  </si>
  <si>
    <t>aarav.joshi@gmail.com</t>
  </si>
  <si>
    <t>9920543357</t>
  </si>
  <si>
    <t xml:space="preserve">  pooja yadav  </t>
  </si>
  <si>
    <t>734570</t>
  </si>
  <si>
    <t>13/09/2024</t>
  </si>
  <si>
    <t>9496533443</t>
  </si>
  <si>
    <t>20-04-2024</t>
  </si>
  <si>
    <t>Suresh Bhatt</t>
  </si>
  <si>
    <t>suresh.bhattgmail.com</t>
  </si>
  <si>
    <t>9343706034</t>
  </si>
  <si>
    <t>2024/08/06</t>
  </si>
  <si>
    <t xml:space="preserve">  Meena Reddy  </t>
  </si>
  <si>
    <t>9849587647</t>
  </si>
  <si>
    <t>16-07-2024</t>
  </si>
  <si>
    <t>sanjay.nairgmail.com</t>
  </si>
  <si>
    <t>9612910599</t>
  </si>
  <si>
    <t>13/04/2024</t>
  </si>
  <si>
    <t>Sanjay Nair</t>
  </si>
  <si>
    <t>9898291422</t>
  </si>
  <si>
    <t xml:space="preserve">  SHAMPOO  </t>
  </si>
  <si>
    <t>21-10-2024</t>
  </si>
  <si>
    <t xml:space="preserve">  SANJAY DESAI  </t>
  </si>
  <si>
    <t>sanjay.desaigmail.com</t>
  </si>
  <si>
    <t>9554586233</t>
  </si>
  <si>
    <t>19/12/2024</t>
  </si>
  <si>
    <t>9614743028</t>
  </si>
  <si>
    <t>9101920794</t>
  </si>
  <si>
    <t>swati verma</t>
  </si>
  <si>
    <t>9143112701</t>
  </si>
  <si>
    <t>07-11-2024</t>
  </si>
  <si>
    <t>Meena Patel</t>
  </si>
  <si>
    <t>meena.patel@gmail.com</t>
  </si>
  <si>
    <t>9882828058</t>
  </si>
  <si>
    <t>2024/11/06</t>
  </si>
  <si>
    <t>Rohit Desai</t>
  </si>
  <si>
    <t>9582370515</t>
  </si>
  <si>
    <t>2024-02-11</t>
  </si>
  <si>
    <t>9268012518</t>
  </si>
  <si>
    <t>12-11-2024</t>
  </si>
  <si>
    <t>9401258174</t>
  </si>
  <si>
    <t>17-09-2024</t>
  </si>
  <si>
    <t>9771081482</t>
  </si>
  <si>
    <t>2024/11/14</t>
  </si>
  <si>
    <t>9122059086</t>
  </si>
  <si>
    <t>18-12-2024</t>
  </si>
  <si>
    <t>Arjun Iyer</t>
  </si>
  <si>
    <t>arjun.iyer@gmail.com</t>
  </si>
  <si>
    <t>9381651945</t>
  </si>
  <si>
    <t>Rahul Reddy</t>
  </si>
  <si>
    <t>rahul.reddy@gmail.com</t>
  </si>
  <si>
    <t>539020</t>
  </si>
  <si>
    <t>14-09-2024</t>
  </si>
  <si>
    <t>SANJAY NAIR</t>
  </si>
  <si>
    <t>9401608690</t>
  </si>
  <si>
    <t>sanjay reddy</t>
  </si>
  <si>
    <t>9476505955</t>
  </si>
  <si>
    <t>2024-11-16</t>
  </si>
  <si>
    <t>Arjun Sharma</t>
  </si>
  <si>
    <t>arjun.sharma@gmail.com</t>
  </si>
  <si>
    <t>9507378677</t>
  </si>
  <si>
    <t>10-05-2024</t>
  </si>
  <si>
    <t>Neha Malhotra</t>
  </si>
  <si>
    <t>neha.malhotra@gmail.com</t>
  </si>
  <si>
    <t>09-04-2024</t>
  </si>
  <si>
    <t>9314618246</t>
  </si>
  <si>
    <t>28-05-2024</t>
  </si>
  <si>
    <t>ARJUN NAIR</t>
  </si>
  <si>
    <t>9496350754</t>
  </si>
  <si>
    <t>24/05/2024</t>
  </si>
  <si>
    <t>suresh.patelgmail.com</t>
  </si>
  <si>
    <t>9400174494</t>
  </si>
  <si>
    <t>09/03/2024</t>
  </si>
  <si>
    <t>2024/07/04</t>
  </si>
  <si>
    <t>DEEPAK SHAH</t>
  </si>
  <si>
    <t>deepak.shahgmail.com</t>
  </si>
  <si>
    <t>9514453341</t>
  </si>
  <si>
    <t>22/11/2024</t>
  </si>
  <si>
    <t>9946179261</t>
  </si>
  <si>
    <t>02/06/2024</t>
  </si>
  <si>
    <t>9520096331</t>
  </si>
  <si>
    <t>2024/02/12</t>
  </si>
  <si>
    <t>vikram.agarwalgmail.com</t>
  </si>
  <si>
    <t>9786594727</t>
  </si>
  <si>
    <t>SMARTWATCH</t>
  </si>
  <si>
    <t>2024/05/04</t>
  </si>
  <si>
    <t>suresh.chopragmail.com</t>
  </si>
  <si>
    <t>9830708276</t>
  </si>
  <si>
    <t>12/06/2024</t>
  </si>
  <si>
    <t>ROHIT SHAH</t>
  </si>
  <si>
    <t>329158</t>
  </si>
  <si>
    <t>05/03/2024</t>
  </si>
  <si>
    <t>Neha Shah</t>
  </si>
  <si>
    <t>9123642970</t>
  </si>
  <si>
    <t xml:space="preserve">  WEST BENGAL  </t>
  </si>
  <si>
    <t>2024-11-12</t>
  </si>
  <si>
    <t>kavita reddy</t>
  </si>
  <si>
    <t>467140</t>
  </si>
  <si>
    <t>25/09/2024</t>
  </si>
  <si>
    <t>9655865423</t>
  </si>
  <si>
    <t>29/06/2024</t>
  </si>
  <si>
    <t>Aarav Kapoor</t>
  </si>
  <si>
    <t>aarav.kapoorgmail.com</t>
  </si>
  <si>
    <t>9200056545</t>
  </si>
  <si>
    <t>2024/10/04</t>
  </si>
  <si>
    <t>VIKRAM SINGH</t>
  </si>
  <si>
    <t>vikram.singh@gmail.com</t>
  </si>
  <si>
    <t>9967572793</t>
  </si>
  <si>
    <t>2024-05-18</t>
  </si>
  <si>
    <t>sneha yadav</t>
  </si>
  <si>
    <t>sneha.yadav@gmail.com</t>
  </si>
  <si>
    <t>9507356527</t>
  </si>
  <si>
    <t>11-03-2024</t>
  </si>
  <si>
    <t>pooja singh</t>
  </si>
  <si>
    <t>pooja.singhgmail.com</t>
  </si>
  <si>
    <t>23-06-2024</t>
  </si>
  <si>
    <t>Ritu Kumar</t>
  </si>
  <si>
    <t>ritu.kumar@gmail.com</t>
  </si>
  <si>
    <t>ARJUN IYER</t>
  </si>
  <si>
    <t>9800508475</t>
  </si>
  <si>
    <t>15/09/2024</t>
  </si>
  <si>
    <t xml:space="preserve">  Sneha Chopra  </t>
  </si>
  <si>
    <t>9231464070</t>
  </si>
  <si>
    <t>2024/09/24</t>
  </si>
  <si>
    <t>arjun.agarwal@gmail.com</t>
  </si>
  <si>
    <t>9916913519</t>
  </si>
  <si>
    <t>29/05/2024</t>
  </si>
  <si>
    <t>9724198479</t>
  </si>
  <si>
    <t>2024-03-16</t>
  </si>
  <si>
    <t xml:space="preserve">  Neha Nair  </t>
  </si>
  <si>
    <t>9136802314</t>
  </si>
  <si>
    <t>2024/04/22</t>
  </si>
  <si>
    <t>9594012361</t>
  </si>
  <si>
    <t>2024-06-30</t>
  </si>
  <si>
    <t>9866161868</t>
  </si>
  <si>
    <t>20-06-2024</t>
  </si>
  <si>
    <t>DEEPAK SHARMA</t>
  </si>
  <si>
    <t>9268928043</t>
  </si>
  <si>
    <t>9924715291</t>
  </si>
  <si>
    <t>2024/06/16</t>
  </si>
  <si>
    <t>Sneha Reddy</t>
  </si>
  <si>
    <t>sneha.reddy@gmail.com</t>
  </si>
  <si>
    <t>9580326330</t>
  </si>
  <si>
    <t>2024/09/18</t>
  </si>
  <si>
    <t>ARJUN SHARMA</t>
  </si>
  <si>
    <t>9713231127</t>
  </si>
  <si>
    <t>05-01-2024</t>
  </si>
  <si>
    <t>Ritu Yadav</t>
  </si>
  <si>
    <t>9332553595</t>
  </si>
  <si>
    <t>DIVYA YADAV</t>
  </si>
  <si>
    <t>9627077209</t>
  </si>
  <si>
    <t xml:space="preserve">  pen set  </t>
  </si>
  <si>
    <t>2024/03/06</t>
  </si>
  <si>
    <t>9223241459</t>
  </si>
  <si>
    <t>19/06/2024</t>
  </si>
  <si>
    <t>9261387238</t>
  </si>
  <si>
    <t>2024-11-09</t>
  </si>
  <si>
    <t>deepak yadav</t>
  </si>
  <si>
    <t>9195433541</t>
  </si>
  <si>
    <t>25/08/2024</t>
  </si>
  <si>
    <t>9116077649</t>
  </si>
  <si>
    <t>2024-08-07</t>
  </si>
  <si>
    <t>9793496200</t>
  </si>
  <si>
    <t>2024-01-05</t>
  </si>
  <si>
    <t>9166996629</t>
  </si>
  <si>
    <t>2024/04/29</t>
  </si>
  <si>
    <t xml:space="preserve">  arjun malhotra  </t>
  </si>
  <si>
    <t>9194488051</t>
  </si>
  <si>
    <t>2024-04-03</t>
  </si>
  <si>
    <t>2024/11/24</t>
  </si>
  <si>
    <t>2024-12-14</t>
  </si>
  <si>
    <t>PRIYA PATEL</t>
  </si>
  <si>
    <t>9845156469</t>
  </si>
  <si>
    <t>14-05-2024</t>
  </si>
  <si>
    <t>anita.kapoor@gmail.com</t>
  </si>
  <si>
    <t>9113806403</t>
  </si>
  <si>
    <t xml:space="preserve">  LUCKNOW  </t>
  </si>
  <si>
    <t xml:space="preserve">  uttar pradesh  </t>
  </si>
  <si>
    <t>10-04-2024</t>
  </si>
  <si>
    <t>DIVYA SHAH</t>
  </si>
  <si>
    <t>9233692420</t>
  </si>
  <si>
    <t>2024/06/17</t>
  </si>
  <si>
    <t>9357068174</t>
  </si>
  <si>
    <t>2024-07-04</t>
  </si>
  <si>
    <t>9119825612</t>
  </si>
  <si>
    <t>2024/06/22</t>
  </si>
  <si>
    <t>rahul.patelgmail.com</t>
  </si>
  <si>
    <t>9454198604</t>
  </si>
  <si>
    <t>2024-06-06</t>
  </si>
  <si>
    <t xml:space="preserve">  Ritu Desai  </t>
  </si>
  <si>
    <t>9357774759</t>
  </si>
  <si>
    <t>2024/10/20</t>
  </si>
  <si>
    <t xml:space="preserve">  Rohit Shah  </t>
  </si>
  <si>
    <t>9278473577</t>
  </si>
  <si>
    <t xml:space="preserve">  Aarav Yadav  </t>
  </si>
  <si>
    <t>9194161968</t>
  </si>
  <si>
    <t>24-12-2024</t>
  </si>
  <si>
    <t>9822628547</t>
  </si>
  <si>
    <t>2024/09/26</t>
  </si>
  <si>
    <t>Pooja Gupta</t>
  </si>
  <si>
    <t>pooja.gupta@gmail.com</t>
  </si>
  <si>
    <t>461306</t>
  </si>
  <si>
    <t>9741304433</t>
  </si>
  <si>
    <t>10/08/2024</t>
  </si>
  <si>
    <t>AMIT IYER</t>
  </si>
  <si>
    <t>9586047470</t>
  </si>
  <si>
    <t>2024-06-19</t>
  </si>
  <si>
    <t>anita rao</t>
  </si>
  <si>
    <t>anita.rao@gmail.com</t>
  </si>
  <si>
    <t>9551006373</t>
  </si>
  <si>
    <t xml:space="preserve">  Chennai  </t>
  </si>
  <si>
    <t>2024/06/25</t>
  </si>
  <si>
    <t>2024/06/27</t>
  </si>
  <si>
    <t>NEHA SINGH</t>
  </si>
  <si>
    <t>9111067913</t>
  </si>
  <si>
    <t>9464039879</t>
  </si>
  <si>
    <t>07-01-2024</t>
  </si>
  <si>
    <t>9182232424</t>
  </si>
  <si>
    <t>2024/01/07</t>
  </si>
  <si>
    <t xml:space="preserve">  swati verma  </t>
  </si>
  <si>
    <t>9675225172</t>
  </si>
  <si>
    <t>2024/11/03</t>
  </si>
  <si>
    <t>Arjun Malhotra</t>
  </si>
  <si>
    <t>9958696310</t>
  </si>
  <si>
    <t>9507448302</t>
  </si>
  <si>
    <t>2024/10/30</t>
  </si>
  <si>
    <t>9955275089</t>
  </si>
  <si>
    <t>12/08/2024</t>
  </si>
  <si>
    <t xml:space="preserve">  Rahul Malhotra  </t>
  </si>
  <si>
    <t>732129</t>
  </si>
  <si>
    <t>2024/05/22</t>
  </si>
  <si>
    <t>9842731097</t>
  </si>
  <si>
    <t>2024/09/19</t>
  </si>
  <si>
    <t xml:space="preserve">  Sanjay Mehta  </t>
  </si>
  <si>
    <t>9542149487</t>
  </si>
  <si>
    <t>arjun.kumar@gmail.com</t>
  </si>
  <si>
    <t>457359</t>
  </si>
  <si>
    <t>31/08/2024</t>
  </si>
  <si>
    <t>priya chopra</t>
  </si>
  <si>
    <t>9100119185</t>
  </si>
  <si>
    <t>Rahul Rao</t>
  </si>
  <si>
    <t>rahul.rao@gmail.com</t>
  </si>
  <si>
    <t>9872305860</t>
  </si>
  <si>
    <t>SURAT</t>
  </si>
  <si>
    <t>notebook</t>
  </si>
  <si>
    <t>05-04-2024</t>
  </si>
  <si>
    <t>POOJA KUMAR</t>
  </si>
  <si>
    <t>pooja.kumar@gmail.com</t>
  </si>
  <si>
    <t>9866096692</t>
  </si>
  <si>
    <t>2024/01/03</t>
  </si>
  <si>
    <t>9178754203</t>
  </si>
  <si>
    <t>2024/04/14</t>
  </si>
  <si>
    <t xml:space="preserve">  Priya Malhotra  </t>
  </si>
  <si>
    <t>priya.malhotragmail.com</t>
  </si>
  <si>
    <t>9980643798</t>
  </si>
  <si>
    <t>22/01/2024</t>
  </si>
  <si>
    <t xml:space="preserve">  deepak sharma  </t>
  </si>
  <si>
    <t>10-12-2024</t>
  </si>
  <si>
    <t>Anita Sharma</t>
  </si>
  <si>
    <t>anita.sharma@gmail.com</t>
  </si>
  <si>
    <t>9853500306</t>
  </si>
  <si>
    <t>2024/03/11</t>
  </si>
  <si>
    <t>9239729505</t>
  </si>
  <si>
    <t>31-12-2024</t>
  </si>
  <si>
    <t>9967774996</t>
  </si>
  <si>
    <t xml:space="preserve">  vikram yadav  </t>
  </si>
  <si>
    <t>9806642209</t>
  </si>
  <si>
    <t>2024/10/31</t>
  </si>
  <si>
    <t>arjun shah</t>
  </si>
  <si>
    <t>9291146885</t>
  </si>
  <si>
    <t>08-03-2024</t>
  </si>
  <si>
    <t xml:space="preserve">  Sneha Sharma  </t>
  </si>
  <si>
    <t>9785399767</t>
  </si>
  <si>
    <t>24/04/2024</t>
  </si>
  <si>
    <t>9944959645</t>
  </si>
  <si>
    <t>10-01-2024</t>
  </si>
  <si>
    <t>NEHA CHOPRA</t>
  </si>
  <si>
    <t>9254087473</t>
  </si>
  <si>
    <t>21/11/2024</t>
  </si>
  <si>
    <t>9724295871</t>
  </si>
  <si>
    <t>2024/10/05</t>
  </si>
  <si>
    <t>9734450486</t>
  </si>
  <si>
    <t>2024-04-20</t>
  </si>
  <si>
    <t>rohit desai</t>
  </si>
  <si>
    <t>9310767362</t>
  </si>
  <si>
    <t>07/12/2024</t>
  </si>
  <si>
    <t>9586375291</t>
  </si>
  <si>
    <t>07-04-2024</t>
  </si>
  <si>
    <t xml:space="preserve">  POOJA DESAI  </t>
  </si>
  <si>
    <t>9558278909</t>
  </si>
  <si>
    <t>2024/09/16</t>
  </si>
  <si>
    <t>9127893192</t>
  </si>
  <si>
    <t>2024-07-01</t>
  </si>
  <si>
    <t>anita reddy</t>
  </si>
  <si>
    <t>9837060301</t>
  </si>
  <si>
    <t>26-12-2024</t>
  </si>
  <si>
    <t>9836821082</t>
  </si>
  <si>
    <t xml:space="preserve">  Divya Nair  </t>
  </si>
  <si>
    <t>9999142024</t>
  </si>
  <si>
    <t>05-02-2024</t>
  </si>
  <si>
    <t>ROHIT PATEL</t>
  </si>
  <si>
    <t>9221859010</t>
  </si>
  <si>
    <t>2024-04-07</t>
  </si>
  <si>
    <t>DEEPAK YADAV</t>
  </si>
  <si>
    <t>9241906785</t>
  </si>
  <si>
    <t>28-09-2024</t>
  </si>
  <si>
    <t>divya yadav</t>
  </si>
  <si>
    <t>9133733067</t>
  </si>
  <si>
    <t>2024/06/13</t>
  </si>
  <si>
    <t>9533569522</t>
  </si>
  <si>
    <t>2024-12-26</t>
  </si>
  <si>
    <t>9214868289</t>
  </si>
  <si>
    <t>393474</t>
  </si>
  <si>
    <t>02/01/2024</t>
  </si>
  <si>
    <t>neha.nairgmail.com</t>
  </si>
  <si>
    <t>9179337540</t>
  </si>
  <si>
    <t>2024-02-18</t>
  </si>
  <si>
    <t xml:space="preserve">  RITU AGARWAL  </t>
  </si>
  <si>
    <t>9338565329</t>
  </si>
  <si>
    <t>18-09-2024</t>
  </si>
  <si>
    <t xml:space="preserve">  Sneha Iyer  </t>
  </si>
  <si>
    <t>9961629449</t>
  </si>
  <si>
    <t>24-04-2024</t>
  </si>
  <si>
    <t>9185053035</t>
  </si>
  <si>
    <t>2024/07/28</t>
  </si>
  <si>
    <t xml:space="preserve">  Deepak Agarwal  </t>
  </si>
  <si>
    <t>deepak.agarwal@gmail.com</t>
  </si>
  <si>
    <t>9203966930</t>
  </si>
  <si>
    <t>27-09-2024</t>
  </si>
  <si>
    <t>9611467907</t>
  </si>
  <si>
    <t>KAVITA CHOPRA</t>
  </si>
  <si>
    <t>kavita.chopra@gmail.com</t>
  </si>
  <si>
    <t>847965</t>
  </si>
  <si>
    <t>01-04-2024</t>
  </si>
  <si>
    <t>07/03/2024</t>
  </si>
  <si>
    <t>9352886115</t>
  </si>
  <si>
    <t>10-10-2024</t>
  </si>
  <si>
    <t>9391609997</t>
  </si>
  <si>
    <t>24/02/2024</t>
  </si>
  <si>
    <t>9904242640</t>
  </si>
  <si>
    <t>12-03-2024</t>
  </si>
  <si>
    <t>2024/09/20</t>
  </si>
  <si>
    <t>9428303355</t>
  </si>
  <si>
    <t>26-07-2024</t>
  </si>
  <si>
    <t>neha.bhattgmail.com</t>
  </si>
  <si>
    <t>9576726420</t>
  </si>
  <si>
    <t>2024-06-25</t>
  </si>
  <si>
    <t>9769553681</t>
  </si>
  <si>
    <t>2024-09-27</t>
  </si>
  <si>
    <t>RAHUL MALHOTRA</t>
  </si>
  <si>
    <t>9762268691</t>
  </si>
  <si>
    <t>9294567050</t>
  </si>
  <si>
    <t>25-02-2024</t>
  </si>
  <si>
    <t>9583864464</t>
  </si>
  <si>
    <t>2024/06/19</t>
  </si>
  <si>
    <t xml:space="preserve">  ARJUN IYER  </t>
  </si>
  <si>
    <t>9155322403</t>
  </si>
  <si>
    <t>SANJAY REDDY</t>
  </si>
  <si>
    <t>9338986276</t>
  </si>
  <si>
    <t>19/10/2024</t>
  </si>
  <si>
    <t>9826885275</t>
  </si>
  <si>
    <t>03-11-2024</t>
  </si>
  <si>
    <t>sanjay.desai@gmail.com</t>
  </si>
  <si>
    <t>9442919550</t>
  </si>
  <si>
    <t>12-05-2024</t>
  </si>
  <si>
    <t>priya reddy</t>
  </si>
  <si>
    <t>9608647439</t>
  </si>
  <si>
    <t>27-06-2024</t>
  </si>
  <si>
    <t>pooja yadav</t>
  </si>
  <si>
    <t>22-12-2024</t>
  </si>
  <si>
    <t xml:space="preserve">  AJAY GUPTA  </t>
  </si>
  <si>
    <t>ajay.gupta@gmail.com</t>
  </si>
  <si>
    <t>2024/12/08</t>
  </si>
  <si>
    <t xml:space="preserve">  Vikram Iyer  </t>
  </si>
  <si>
    <t>vikram.iyer@gmail.com</t>
  </si>
  <si>
    <t>9165427895</t>
  </si>
  <si>
    <t>2024/10/09</t>
  </si>
  <si>
    <t>9618530679</t>
  </si>
  <si>
    <t>2024-05-27</t>
  </si>
  <si>
    <t xml:space="preserve">  Vikram Bhatt  </t>
  </si>
  <si>
    <t>9569450596</t>
  </si>
  <si>
    <t>30-07-2024</t>
  </si>
  <si>
    <t>kavita joshi</t>
  </si>
  <si>
    <t>9882666639</t>
  </si>
  <si>
    <t>9101746119</t>
  </si>
  <si>
    <t>17/12/2024</t>
  </si>
  <si>
    <t>arjun chopra</t>
  </si>
  <si>
    <t>9927723467</t>
  </si>
  <si>
    <t>2024/10/12</t>
  </si>
  <si>
    <t xml:space="preserve">  pooja desai  </t>
  </si>
  <si>
    <t>9935564827</t>
  </si>
  <si>
    <t xml:space="preserve">  DEEPAK AGARWAL  </t>
  </si>
  <si>
    <t>deepak.agarwalgmail.com</t>
  </si>
  <si>
    <t xml:space="preserve">  notebook  </t>
  </si>
  <si>
    <t>2024-11-13</t>
  </si>
  <si>
    <t xml:space="preserve">  Pooja Verma  </t>
  </si>
  <si>
    <t>9696578672</t>
  </si>
  <si>
    <t>21-08-2024</t>
  </si>
  <si>
    <t>ANITA NAIR</t>
  </si>
  <si>
    <t>9303378390</t>
  </si>
  <si>
    <t>9999973191</t>
  </si>
  <si>
    <t>15-12-2024</t>
  </si>
  <si>
    <t>Aarav Joshi</t>
  </si>
  <si>
    <t>9192498086</t>
  </si>
  <si>
    <t xml:space="preserve">  DELHI  </t>
  </si>
  <si>
    <t xml:space="preserve">  Pooja Kumar  </t>
  </si>
  <si>
    <t>9999275638</t>
  </si>
  <si>
    <t>2024/10/10</t>
  </si>
  <si>
    <t>9120464416</t>
  </si>
  <si>
    <t>2024-01-11</t>
  </si>
  <si>
    <t>ANITA BHATT</t>
  </si>
  <si>
    <t>9139992943</t>
  </si>
  <si>
    <t>06/04/2024</t>
  </si>
  <si>
    <t>9885334836</t>
  </si>
  <si>
    <t>2024-10-31</t>
  </si>
  <si>
    <t>Deepak Gupta</t>
  </si>
  <si>
    <t>deepak.gupta@gmail.com</t>
  </si>
  <si>
    <t>9212954531</t>
  </si>
  <si>
    <t>9221653091</t>
  </si>
  <si>
    <t>11/04/2024</t>
  </si>
  <si>
    <t>9340135002</t>
  </si>
  <si>
    <t>2024-06-01</t>
  </si>
  <si>
    <t xml:space="preserve">  Amit Malhotra  </t>
  </si>
  <si>
    <t>9425248972</t>
  </si>
  <si>
    <t>pooja.patelgmail.com</t>
  </si>
  <si>
    <t>9126942786</t>
  </si>
  <si>
    <t>2024/12/12</t>
  </si>
  <si>
    <t>9944971164</t>
  </si>
  <si>
    <t>2024/03/23</t>
  </si>
  <si>
    <t>ANITA RAO</t>
  </si>
  <si>
    <t>2024-10-19</t>
  </si>
  <si>
    <t>9191247467</t>
  </si>
  <si>
    <t xml:space="preserve">  T-SHIRT  </t>
  </si>
  <si>
    <t>meena shah</t>
  </si>
  <si>
    <t>9129827943</t>
  </si>
  <si>
    <t xml:space="preserve">  PUNE  </t>
  </si>
  <si>
    <t>08/04/2024</t>
  </si>
  <si>
    <t xml:space="preserve">  Neha Chopra  </t>
  </si>
  <si>
    <t>9782732853</t>
  </si>
  <si>
    <t>31-08-2024</t>
  </si>
  <si>
    <t>9342436932</t>
  </si>
  <si>
    <t>2024/10/19</t>
  </si>
  <si>
    <t>9776391174</t>
  </si>
  <si>
    <t>9679363017</t>
  </si>
  <si>
    <t>28-11-2024</t>
  </si>
  <si>
    <t xml:space="preserve">  amit shah  </t>
  </si>
  <si>
    <t>9388219584</t>
  </si>
  <si>
    <t xml:space="preserve">  kolkata  </t>
  </si>
  <si>
    <t>2024-01-28</t>
  </si>
  <si>
    <t>Ritu Joshi</t>
  </si>
  <si>
    <t>9602518754</t>
  </si>
  <si>
    <t>9908927019</t>
  </si>
  <si>
    <t>26-04-2024</t>
  </si>
  <si>
    <t>9684361241</t>
  </si>
  <si>
    <t>2024/04/20</t>
  </si>
  <si>
    <t>9462690716</t>
  </si>
  <si>
    <t>karnataka</t>
  </si>
  <si>
    <t>POOJA SINGH</t>
  </si>
  <si>
    <t>9974306861</t>
  </si>
  <si>
    <t>16-09-2024</t>
  </si>
  <si>
    <t>9432087879</t>
  </si>
  <si>
    <t>9269188063</t>
  </si>
  <si>
    <t>06/05/2024</t>
  </si>
  <si>
    <t>9853206684</t>
  </si>
  <si>
    <t>09/10/2024</t>
  </si>
  <si>
    <t>sneha iyer</t>
  </si>
  <si>
    <t xml:space="preserve">  KURTA  </t>
  </si>
  <si>
    <t>30-11-2024</t>
  </si>
  <si>
    <t>9511216452</t>
  </si>
  <si>
    <t>01/02/2024</t>
  </si>
  <si>
    <t xml:space="preserve">  RITU SINGH  </t>
  </si>
  <si>
    <t>9370298074</t>
  </si>
  <si>
    <t>9752441924</t>
  </si>
  <si>
    <t>763558</t>
  </si>
  <si>
    <t>23/09/2024</t>
  </si>
  <si>
    <t xml:space="preserve">  Deepak Verma  </t>
  </si>
  <si>
    <t>9924710516</t>
  </si>
  <si>
    <t>2024-10-07</t>
  </si>
  <si>
    <t xml:space="preserve">  Arjun Sharma  </t>
  </si>
  <si>
    <t>arjun.sharmagmail.com</t>
  </si>
  <si>
    <t>9965406941</t>
  </si>
  <si>
    <t>346718</t>
  </si>
  <si>
    <t>2024/06/24</t>
  </si>
  <si>
    <t>meena reddy</t>
  </si>
  <si>
    <t>9482339227</t>
  </si>
  <si>
    <t xml:space="preserve">  Sneha Yadav  </t>
  </si>
  <si>
    <t>9122871316</t>
  </si>
  <si>
    <t>9971542034</t>
  </si>
  <si>
    <t>2024-04-19</t>
  </si>
  <si>
    <t>9392727965</t>
  </si>
  <si>
    <t>2024/08/20</t>
  </si>
  <si>
    <t>9338234664</t>
  </si>
  <si>
    <t xml:space="preserve">  T-Shirt  </t>
  </si>
  <si>
    <t>11/01/2024</t>
  </si>
  <si>
    <t>9862674005</t>
  </si>
  <si>
    <t>12/02/2024</t>
  </si>
  <si>
    <t>2024-03-05</t>
  </si>
  <si>
    <t>Arjun Agarwal</t>
  </si>
  <si>
    <t>9758369053</t>
  </si>
  <si>
    <t>2024/02/16</t>
  </si>
  <si>
    <t>sanjay malhotra</t>
  </si>
  <si>
    <t>9878042848</t>
  </si>
  <si>
    <t>2024-03-21</t>
  </si>
  <si>
    <t xml:space="preserve">  Arjun Malhotra  </t>
  </si>
  <si>
    <t>arjun.malhotra@gmail.com</t>
  </si>
  <si>
    <t>9349599779</t>
  </si>
  <si>
    <t>Divya Yadav</t>
  </si>
  <si>
    <t>9933418356</t>
  </si>
  <si>
    <t>17/06/2024</t>
  </si>
  <si>
    <t>Deepak Agarwal</t>
  </si>
  <si>
    <t>23-10-2024</t>
  </si>
  <si>
    <t>9643034113</t>
  </si>
  <si>
    <t>2024-04-21</t>
  </si>
  <si>
    <t>9252051767</t>
  </si>
  <si>
    <t>18/04/2024</t>
  </si>
  <si>
    <t>9631711095</t>
  </si>
  <si>
    <t>25/12/2024</t>
  </si>
  <si>
    <t>9310838362</t>
  </si>
  <si>
    <t>9360363208</t>
  </si>
  <si>
    <t xml:space="preserve">  west bengal  </t>
  </si>
  <si>
    <t>27-04-2024</t>
  </si>
  <si>
    <t>9823302432</t>
  </si>
  <si>
    <t>11-07-2024</t>
  </si>
  <si>
    <t>9145463415</t>
  </si>
  <si>
    <t>2024/08/19</t>
  </si>
  <si>
    <t>AARAV KAPOOR</t>
  </si>
  <si>
    <t>9958384556</t>
  </si>
  <si>
    <t xml:space="preserve">  KARNATAKA  </t>
  </si>
  <si>
    <t>24/07/2024</t>
  </si>
  <si>
    <t xml:space="preserve">  VIKRAM BHATT  </t>
  </si>
  <si>
    <t>9663174080</t>
  </si>
  <si>
    <t>Kavita Bhatt</t>
  </si>
  <si>
    <t>kavita.bhatt@gmail.com</t>
  </si>
  <si>
    <t>9634170262</t>
  </si>
  <si>
    <t>2024-04-15</t>
  </si>
  <si>
    <t>POOJA DESAI</t>
  </si>
  <si>
    <t>9946150157</t>
  </si>
  <si>
    <t>2024-05-13</t>
  </si>
  <si>
    <t xml:space="preserve">  SWATI VERMA  </t>
  </si>
  <si>
    <t>9704998577</t>
  </si>
  <si>
    <t>2024-01-24</t>
  </si>
  <si>
    <t xml:space="preserve">  Meena Patel  </t>
  </si>
  <si>
    <t>meena.patelgmail.com</t>
  </si>
  <si>
    <t>9681797748</t>
  </si>
  <si>
    <t>9785665156</t>
  </si>
  <si>
    <t>03-10-2024</t>
  </si>
  <si>
    <t>SNEHA CHOPRA</t>
  </si>
  <si>
    <t>sneha.chopragmail.com</t>
  </si>
  <si>
    <t>9133005121</t>
  </si>
  <si>
    <t>2024/03/27</t>
  </si>
  <si>
    <t>9211631378</t>
  </si>
  <si>
    <t>02-12-2024</t>
  </si>
  <si>
    <t>Meena Nair</t>
  </si>
  <si>
    <t>9104256500</t>
  </si>
  <si>
    <t>2024-10-14</t>
  </si>
  <si>
    <t>deepak agarwal</t>
  </si>
  <si>
    <t>9580678079</t>
  </si>
  <si>
    <t>29/07/2024</t>
  </si>
  <si>
    <t>9894214023</t>
  </si>
  <si>
    <t>2024-01-13</t>
  </si>
  <si>
    <t>PRIYA CHOPRA</t>
  </si>
  <si>
    <t>9105740054</t>
  </si>
  <si>
    <t>31-07-2024</t>
  </si>
  <si>
    <t>9132014326</t>
  </si>
  <si>
    <t>24-05-2024</t>
  </si>
  <si>
    <t>divya.gupta@gamil.com</t>
  </si>
  <si>
    <t>Umknowm</t>
  </si>
  <si>
    <t>ritu.verma@gamil.com</t>
  </si>
  <si>
    <t>meena.shah@gamil.com</t>
  </si>
  <si>
    <t>ajay.mehta@gamil.com</t>
  </si>
  <si>
    <t>N/A</t>
  </si>
  <si>
    <t>Upi</t>
  </si>
  <si>
    <t>ajay.agarwal@gamil.com</t>
  </si>
  <si>
    <t>sneha.malhotra@gamil.com</t>
  </si>
  <si>
    <t>Cash On Delivery</t>
  </si>
  <si>
    <t>Sneha Chopra</t>
  </si>
  <si>
    <t>sneha.chopra@gamil.com</t>
  </si>
  <si>
    <t>aarav.yadav@gamil.com</t>
  </si>
  <si>
    <t>ajay.kapoor@gamil.com</t>
  </si>
  <si>
    <t>priya.mehta@gamil.com</t>
  </si>
  <si>
    <t>Priya Patel</t>
  </si>
  <si>
    <t>priya.patel@gamil.com</t>
  </si>
  <si>
    <t>Kavita Reddy</t>
  </si>
  <si>
    <t>sneha.rao@gamil.com</t>
  </si>
  <si>
    <t>sanjay.mehta@gamil.com</t>
  </si>
  <si>
    <t>Ritu Agarwal</t>
  </si>
  <si>
    <t>ritu.agarwal@gamil.com</t>
  </si>
  <si>
    <t>neha.mehta@gamil.com</t>
  </si>
  <si>
    <t>pooja.yadav@gamil.com</t>
  </si>
  <si>
    <t>kavita.joshi@gamil.com</t>
  </si>
  <si>
    <t>ajay.patel@gamil.com</t>
  </si>
  <si>
    <t>amit.iyer@gamil.com</t>
  </si>
  <si>
    <t>neha.chopra@gamil.com</t>
  </si>
  <si>
    <t>Sanjay Reddy</t>
  </si>
  <si>
    <t>sanjay.reddy@gamil.com</t>
  </si>
  <si>
    <t>pooja.verma@gamil.com</t>
  </si>
  <si>
    <t>anita.verma@gamil.com</t>
  </si>
  <si>
    <t>amit.agarwal@gamil.com</t>
  </si>
  <si>
    <t>meena.kapoor@gamil.com</t>
  </si>
  <si>
    <t>vikram.agarwal@gamil.com</t>
  </si>
  <si>
    <t>neha.shah@gamil.com</t>
  </si>
  <si>
    <t>Rohit Patel</t>
  </si>
  <si>
    <t>deepak.malhotra@gamil.com</t>
  </si>
  <si>
    <t>swati.yadav@gamil.com</t>
  </si>
  <si>
    <t>suresh.shah@gamil.com</t>
  </si>
  <si>
    <t>Amit Bhatt</t>
  </si>
  <si>
    <t>amit.bhatt@gamil.com</t>
  </si>
  <si>
    <t>vikram.bhatt@gamil.com</t>
  </si>
  <si>
    <t>suresh.chopra@gamil.com</t>
  </si>
  <si>
    <t>sneha.iyer@gamil.com</t>
  </si>
  <si>
    <t>pooja.kapoor@gamil.com</t>
  </si>
  <si>
    <t>sanjay.patel@gamil.com</t>
  </si>
  <si>
    <t>amit.shah@gamil.com</t>
  </si>
  <si>
    <t>divya.kumar@gamil.com</t>
  </si>
  <si>
    <t>deepak.sharma@gamil.com</t>
  </si>
  <si>
    <t>suresh.malhotra@gamil.com</t>
  </si>
  <si>
    <t>Swati Chopra</t>
  </si>
  <si>
    <t>swati.chopra@gamil.com</t>
  </si>
  <si>
    <t>suresh.patel@gamil.com</t>
  </si>
  <si>
    <t>Anita Kapoor</t>
  </si>
  <si>
    <t>pooja.singh@gamil.com</t>
  </si>
  <si>
    <t>meena.reddy@gamil.com</t>
  </si>
  <si>
    <t>Neha Kumar</t>
  </si>
  <si>
    <t>neha.kumar@gamil.com</t>
  </si>
  <si>
    <t>rahul.mehta@gamil.com</t>
  </si>
  <si>
    <t>Divya Chopra</t>
  </si>
  <si>
    <t>divya.chopra@gamil.com</t>
  </si>
  <si>
    <t>Anita Reddy</t>
  </si>
  <si>
    <t>anita.reddy@gamil.com</t>
  </si>
  <si>
    <t>swati.verma@gamil.com</t>
  </si>
  <si>
    <t>sneha.singh@gamil.com</t>
  </si>
  <si>
    <t>Vikram Singh</t>
  </si>
  <si>
    <t>divya.singh@gmail.com</t>
  </si>
  <si>
    <t>rahul.patel@gamil.com</t>
  </si>
  <si>
    <t>rahul.sharma@gamil.com</t>
  </si>
  <si>
    <t>divya.yadav@gamil.com</t>
  </si>
  <si>
    <t>amit.malhotra@gamil.com</t>
  </si>
  <si>
    <t>aarav.malhotra@gamil.com</t>
  </si>
  <si>
    <t>pooja.nair@gamil.com</t>
  </si>
  <si>
    <t>anita.bhatt@gamil.com</t>
  </si>
  <si>
    <t>priya.chopra@gamil.com</t>
  </si>
  <si>
    <t>Sneha Sharma</t>
  </si>
  <si>
    <t>sneha.sharma@gamil.com</t>
  </si>
  <si>
    <t>ritu.yadav@gamil.com</t>
  </si>
  <si>
    <t>Pooja Joshi</t>
  </si>
  <si>
    <t>pooja.joshi@gamil.com</t>
  </si>
  <si>
    <t>divya.nair@gamil.com</t>
  </si>
  <si>
    <t>Priya Malhotra</t>
  </si>
  <si>
    <t>priya.malhotra@gamil.com</t>
  </si>
  <si>
    <t>vikram.sharma@gamil.com</t>
  </si>
  <si>
    <t>amit.nair@gamil.com</t>
  </si>
  <si>
    <t>amit.reddy@gamil.com</t>
  </si>
  <si>
    <t>ritu.singh@gamil.com</t>
  </si>
  <si>
    <t>sanjay.agarwal@gamil.com</t>
  </si>
  <si>
    <t>Ritu Desai</t>
  </si>
  <si>
    <t>ritu.desai@gamil.com</t>
  </si>
  <si>
    <t>arjun.shah@gamil.com</t>
  </si>
  <si>
    <t>neha.singh@gamil.com</t>
  </si>
  <si>
    <t>arjun.nair@gamil.com</t>
  </si>
  <si>
    <t>sanjay.nair@gamil.com</t>
  </si>
  <si>
    <t>sanjay.chopra@gamil.com</t>
  </si>
  <si>
    <t>aarav.kapoor@gamil.com</t>
  </si>
  <si>
    <t>rahul.verma@gamil.com</t>
  </si>
  <si>
    <t>vikram.yadav@gamil.com</t>
  </si>
  <si>
    <t>Ritu Iyer</t>
  </si>
  <si>
    <t>ritu.iyer@gamil.com</t>
  </si>
  <si>
    <t>meena.verma@gamil.com</t>
  </si>
  <si>
    <t>Ajay Iyer</t>
  </si>
  <si>
    <t>ajay.iyer@gamil.com</t>
  </si>
  <si>
    <t>deepak.yadav@gamil.com</t>
  </si>
  <si>
    <t>kavita.patel@gamil.com</t>
  </si>
  <si>
    <t>suresh.bhatt@gamil.com</t>
  </si>
  <si>
    <t>Aarav Mehta</t>
  </si>
  <si>
    <t>aarav.mehta@gamil.com</t>
  </si>
  <si>
    <t>ajay.shah@gamil.com</t>
  </si>
  <si>
    <t>rohit.desai@gamil.com</t>
  </si>
  <si>
    <t>suresh.reddy@gamil.com</t>
  </si>
  <si>
    <t>priya.reddy@gamil.com</t>
  </si>
  <si>
    <t>neha.bhatt@gamil.com</t>
  </si>
  <si>
    <t>ritu.joshi@gamil.com</t>
  </si>
  <si>
    <t>pooja.rao@gamil.com</t>
  </si>
  <si>
    <t>kavita.reddy@gamil.com</t>
  </si>
  <si>
    <t>rohit.shah@gamil.com</t>
  </si>
  <si>
    <t>Ajay Gupta</t>
  </si>
  <si>
    <t>kavita.mehta@gamil.com</t>
  </si>
  <si>
    <t>sneha.gupta@gamil.com</t>
  </si>
  <si>
    <t>pooja.desai@gamil.com</t>
  </si>
  <si>
    <t>divya.shah@gamil.com</t>
  </si>
  <si>
    <t>deepak.verma@gamil.com</t>
  </si>
  <si>
    <t>rahul.singh@gamil.com</t>
  </si>
  <si>
    <t>neha.nair@gamil.com</t>
  </si>
  <si>
    <t>pooja.patel@gamil.com</t>
  </si>
  <si>
    <t>rohit.kumar@gamil.com</t>
  </si>
  <si>
    <t>sanjay.malhotra@gamil.com</t>
  </si>
  <si>
    <t>arjun.chopra@gamil.com</t>
  </si>
  <si>
    <t>priya.desai@gamil.com</t>
  </si>
  <si>
    <t>vikram.kumar@gamil.com</t>
  </si>
  <si>
    <t>meena.nair@gamil.com</t>
  </si>
  <si>
    <t>rohit.patel@gamil.com</t>
  </si>
  <si>
    <t>Vikram Desai</t>
  </si>
  <si>
    <t>vikram.desai@gamil.com</t>
  </si>
  <si>
    <t>rahul.malhotra@gamil.com</t>
  </si>
  <si>
    <t>anita.nair@gamil.com</t>
  </si>
  <si>
    <t>meena.malhotra@gamil.com</t>
  </si>
  <si>
    <t>aarav.joshi@gamil.com</t>
  </si>
  <si>
    <t>meena.patel@gamil.com</t>
  </si>
  <si>
    <t>arjun.iyer@gamil.com</t>
  </si>
  <si>
    <t>rahul.reddy@gamil.com</t>
  </si>
  <si>
    <t>arjun.sharma@gamil.com</t>
  </si>
  <si>
    <t>neha.malhotra@gamil.com</t>
  </si>
  <si>
    <t>Deepak Shah</t>
  </si>
  <si>
    <t>deepak.shah@gmail.com</t>
  </si>
  <si>
    <t>vikram.singh@gamil.com</t>
  </si>
  <si>
    <t>Sneha Yadav</t>
  </si>
  <si>
    <t>sneha.yadav@gamil.com</t>
  </si>
  <si>
    <t>ritu.kumar@gamil.com</t>
  </si>
  <si>
    <t>arjun.agarwal@gamil.com</t>
  </si>
  <si>
    <t>sneha.reddy@gamil.com</t>
  </si>
  <si>
    <t>anita.kapoor@gamil.com</t>
  </si>
  <si>
    <t>pooja.gupta@gamil.com</t>
  </si>
  <si>
    <t>anita.rao@gamil.com</t>
  </si>
  <si>
    <t>arjun.kumar@gamil.com</t>
  </si>
  <si>
    <t>rahul.rao@gamil.com</t>
  </si>
  <si>
    <t>Pooja Kumar</t>
  </si>
  <si>
    <t>pooja.kumar@gamil.com</t>
  </si>
  <si>
    <t>anita.sharma@gamil.com</t>
  </si>
  <si>
    <t>deepak.agarwal@gamil.com</t>
  </si>
  <si>
    <t>kavita.chopra@gamil.com</t>
  </si>
  <si>
    <t>sanjay.desai@gamil.com</t>
  </si>
  <si>
    <t>ajay.gupta@gamil.com</t>
  </si>
  <si>
    <t>Vikram Iyer</t>
  </si>
  <si>
    <t>vikram.iyer@gamil.com</t>
  </si>
  <si>
    <t>deepak.gupta@gamil.com</t>
  </si>
  <si>
    <t>arjun.malhotra@gamil.com</t>
  </si>
  <si>
    <t>kavita.bhatt@gamil.com</t>
  </si>
  <si>
    <t>Column1</t>
  </si>
  <si>
    <t>Phone2</t>
  </si>
  <si>
    <t>Invalid</t>
  </si>
  <si>
    <t>Not Rated</t>
  </si>
  <si>
    <t>Total Price</t>
  </si>
  <si>
    <t>Total Discount</t>
  </si>
  <si>
    <t>Final Price</t>
  </si>
  <si>
    <t>Sum of Final Price</t>
  </si>
  <si>
    <t>Row Labels</t>
  </si>
  <si>
    <t>Grand Total</t>
  </si>
  <si>
    <t>Count of Column1</t>
  </si>
  <si>
    <t>Average of Rating</t>
  </si>
  <si>
    <t>Indian Retail Sales Analysis</t>
  </si>
  <si>
    <t>Months (OrderDate)</t>
  </si>
  <si>
    <t>(All)</t>
  </si>
  <si>
    <t>Total Revenue</t>
  </si>
  <si>
    <t>Total Order</t>
  </si>
  <si>
    <t>Average Rating</t>
  </si>
  <si>
    <t>Delivered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</si>
</sst>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_ ;_ * \-#,##0_ ;_ * &quot;-&quot;??_ ;_ @_ "/>
    <numFmt numFmtId="165" formatCode="_ * #,##0.0_ ;_ * \-#,##0.0_ ;_ * &quot;-&quot;??_ ;_ @_ "/>
  </numFmts>
  <fonts count="13" x14ac:knownFonts="1">
    <font>
      <sz val="11"/>
      <color theme="1"/>
      <name val="Calibri"/>
      <family val="2"/>
      <charset val="1"/>
    </font>
    <font>
      <sz val="10"/>
      <name val="Arial"/>
    </font>
    <font>
      <sz val="10"/>
      <color rgb="FF000000"/>
      <name val="Arial"/>
      <charset val="1"/>
    </font>
    <font>
      <b/>
      <sz val="11"/>
      <color rgb="FFFFFFFF"/>
      <name val="Arial"/>
      <charset val="1"/>
    </font>
    <font>
      <b/>
      <sz val="11"/>
      <color theme="0"/>
      <name val="Calibri"/>
      <family val="2"/>
      <charset val="1"/>
    </font>
    <font>
      <b/>
      <i/>
      <sz val="48"/>
      <color theme="0"/>
      <name val="Calibri"/>
      <family val="2"/>
    </font>
    <font>
      <b/>
      <i/>
      <sz val="24"/>
      <color theme="1"/>
      <name val="Calibri"/>
      <family val="2"/>
    </font>
    <font>
      <sz val="18"/>
      <color rgb="FF002060"/>
      <name val="Calibri"/>
      <family val="2"/>
    </font>
    <font>
      <b/>
      <sz val="11"/>
      <color theme="1"/>
      <name val="Calibri"/>
      <family val="2"/>
      <charset val="1"/>
    </font>
    <font>
      <sz val="10"/>
      <name val="Arial"/>
      <family val="2"/>
    </font>
    <font>
      <b/>
      <sz val="10"/>
      <name val="Arial"/>
      <family val="2"/>
    </font>
    <font>
      <b/>
      <sz val="12"/>
      <color theme="1"/>
      <name val="Calibri"/>
      <family val="2"/>
    </font>
    <font>
      <sz val="10"/>
      <color theme="0"/>
      <name val="Arial"/>
      <family val="2"/>
    </font>
  </fonts>
  <fills count="9">
    <fill>
      <patternFill patternType="none"/>
    </fill>
    <fill>
      <patternFill patternType="gray125"/>
    </fill>
    <fill>
      <patternFill patternType="solid">
        <fgColor rgb="FF1F3864"/>
        <bgColor rgb="FF375623"/>
      </patternFill>
    </fill>
    <fill>
      <patternFill patternType="solid">
        <fgColor rgb="FFFFFFFF"/>
        <bgColor rgb="FFF2F2F2"/>
      </patternFill>
    </fill>
    <fill>
      <patternFill patternType="solid">
        <fgColor rgb="FFF2F2F2"/>
        <bgColor rgb="FFE2EFDA"/>
      </patternFill>
    </fill>
    <fill>
      <patternFill patternType="solid">
        <fgColor theme="4"/>
        <bgColor theme="4"/>
      </patternFill>
    </fill>
    <fill>
      <patternFill patternType="solid">
        <fgColor theme="0"/>
        <bgColor indexed="64"/>
      </patternFill>
    </fill>
    <fill>
      <patternFill patternType="solid">
        <fgColor theme="3"/>
        <bgColor indexed="64"/>
      </patternFill>
    </fill>
    <fill>
      <patternFill patternType="solid">
        <fgColor rgb="FF0070C0"/>
        <bgColor indexed="64"/>
      </patternFill>
    </fill>
  </fills>
  <borders count="2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top style="thin">
        <color theme="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43" fontId="1" fillId="0" borderId="0" applyBorder="0" applyAlignment="0" applyProtection="0"/>
  </cellStyleXfs>
  <cellXfs count="51">
    <xf numFmtId="0" fontId="0" fillId="0" borderId="0" xfId="0"/>
    <xf numFmtId="0" fontId="2" fillId="3" borderId="1" xfId="0" applyFont="1" applyFill="1" applyBorder="1" applyAlignment="1">
      <alignment horizontal="left" vertical="center"/>
    </xf>
    <xf numFmtId="0" fontId="2" fillId="3" borderId="1" xfId="0" applyFont="1" applyFill="1" applyBorder="1" applyAlignment="1">
      <alignment horizontal="right" vertical="center"/>
    </xf>
    <xf numFmtId="0" fontId="2" fillId="4" borderId="1" xfId="0" applyFont="1" applyFill="1" applyBorder="1" applyAlignment="1">
      <alignment horizontal="left" vertical="center"/>
    </xf>
    <xf numFmtId="0" fontId="2" fillId="4" borderId="1" xfId="0" applyFont="1" applyFill="1" applyBorder="1" applyAlignment="1">
      <alignment horizontal="right" vertical="center"/>
    </xf>
    <xf numFmtId="0" fontId="2" fillId="3" borderId="2" xfId="0" applyFont="1" applyFill="1" applyBorder="1" applyAlignment="1">
      <alignment horizontal="left" vertical="center"/>
    </xf>
    <xf numFmtId="0" fontId="2" fillId="4" borderId="2" xfId="0" applyFont="1" applyFill="1" applyBorder="1" applyAlignment="1">
      <alignment horizontal="left" vertical="center"/>
    </xf>
    <xf numFmtId="0" fontId="2" fillId="3" borderId="3" xfId="0" applyFont="1" applyFill="1" applyBorder="1" applyAlignment="1">
      <alignment horizontal="right" vertical="center"/>
    </xf>
    <xf numFmtId="0" fontId="2" fillId="4" borderId="3" xfId="0" applyFont="1" applyFill="1" applyBorder="1" applyAlignment="1">
      <alignment horizontal="right" vertical="center"/>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2" fillId="4" borderId="7" xfId="0" applyFont="1" applyFill="1" applyBorder="1" applyAlignment="1">
      <alignment horizontal="left" vertical="center"/>
    </xf>
    <xf numFmtId="0" fontId="2" fillId="4" borderId="8" xfId="0" applyFont="1" applyFill="1" applyBorder="1" applyAlignment="1">
      <alignment horizontal="left" vertical="center"/>
    </xf>
    <xf numFmtId="0" fontId="2" fillId="4" borderId="8" xfId="0" applyFont="1" applyFill="1" applyBorder="1" applyAlignment="1">
      <alignment horizontal="right" vertical="center"/>
    </xf>
    <xf numFmtId="0" fontId="2" fillId="4" borderId="9" xfId="0" applyFont="1" applyFill="1" applyBorder="1" applyAlignment="1">
      <alignment horizontal="right" vertical="center"/>
    </xf>
    <xf numFmtId="14" fontId="0" fillId="0" borderId="0" xfId="0" applyNumberFormat="1"/>
    <xf numFmtId="164" fontId="1" fillId="0" borderId="0" xfId="1" applyNumberFormat="1"/>
    <xf numFmtId="0" fontId="0" fillId="0" borderId="0" xfId="0" pivotButton="1"/>
    <xf numFmtId="0" fontId="0" fillId="0" borderId="0" xfId="0" applyAlignment="1">
      <alignment horizontal="left"/>
    </xf>
    <xf numFmtId="164" fontId="0" fillId="0" borderId="0" xfId="0" applyNumberFormat="1"/>
    <xf numFmtId="0" fontId="0" fillId="0" borderId="10" xfId="0" applyBorder="1"/>
    <xf numFmtId="0" fontId="0" fillId="0" borderId="11" xfId="0" applyBorder="1"/>
    <xf numFmtId="0" fontId="0" fillId="0" borderId="12" xfId="0" applyBorder="1"/>
    <xf numFmtId="164" fontId="9" fillId="0" borderId="0" xfId="0" applyNumberFormat="1" applyFont="1"/>
    <xf numFmtId="0" fontId="6" fillId="6" borderId="0" xfId="0" applyFont="1" applyFill="1" applyAlignment="1">
      <alignment vertical="center"/>
    </xf>
    <xf numFmtId="0" fontId="11" fillId="0" borderId="0" xfId="0" applyFont="1"/>
    <xf numFmtId="164" fontId="10" fillId="0" borderId="0" xfId="1" applyNumberFormat="1" applyFont="1"/>
    <xf numFmtId="0" fontId="8" fillId="0" borderId="0" xfId="0" applyFont="1"/>
    <xf numFmtId="10" fontId="8" fillId="0" borderId="0" xfId="0" applyNumberFormat="1" applyFont="1"/>
    <xf numFmtId="165" fontId="10" fillId="0" borderId="0" xfId="1" applyNumberFormat="1" applyFont="1" applyAlignment="1">
      <alignment horizontal="right"/>
    </xf>
    <xf numFmtId="0" fontId="0" fillId="7" borderId="14" xfId="0" applyFill="1" applyBorder="1"/>
    <xf numFmtId="0" fontId="0" fillId="7" borderId="16" xfId="0" applyFill="1" applyBorder="1"/>
    <xf numFmtId="0" fontId="0" fillId="6" borderId="15" xfId="0" applyFill="1" applyBorder="1"/>
    <xf numFmtId="0" fontId="0" fillId="6" borderId="0" xfId="0" applyFill="1"/>
    <xf numFmtId="0" fontId="0" fillId="6" borderId="16" xfId="0" applyFill="1" applyBorder="1"/>
    <xf numFmtId="0" fontId="7" fillId="6" borderId="0" xfId="0" applyFont="1" applyFill="1"/>
    <xf numFmtId="0" fontId="0" fillId="6" borderId="17" xfId="0" applyFill="1" applyBorder="1"/>
    <xf numFmtId="0" fontId="0" fillId="6" borderId="18" xfId="0" applyFill="1" applyBorder="1"/>
    <xf numFmtId="0" fontId="0" fillId="6" borderId="19" xfId="0" applyFill="1" applyBorder="1"/>
    <xf numFmtId="0" fontId="4" fillId="5" borderId="0" xfId="0" applyFont="1" applyFill="1"/>
    <xf numFmtId="0" fontId="4" fillId="5" borderId="13" xfId="0" applyFont="1" applyFill="1" applyBorder="1"/>
    <xf numFmtId="14" fontId="4" fillId="5" borderId="13" xfId="0" applyNumberFormat="1" applyFont="1" applyFill="1" applyBorder="1"/>
    <xf numFmtId="0" fontId="0" fillId="0" borderId="13" xfId="0" applyBorder="1"/>
    <xf numFmtId="14" fontId="0" fillId="0" borderId="13" xfId="0" applyNumberFormat="1" applyBorder="1"/>
    <xf numFmtId="164" fontId="1" fillId="0" borderId="13" xfId="1" applyNumberFormat="1" applyBorder="1"/>
    <xf numFmtId="164" fontId="12" fillId="8" borderId="13" xfId="1" applyNumberFormat="1" applyFont="1" applyFill="1" applyBorder="1"/>
    <xf numFmtId="0" fontId="5" fillId="7" borderId="11" xfId="0" applyFont="1" applyFill="1" applyBorder="1" applyAlignment="1">
      <alignment horizontal="center"/>
    </xf>
    <xf numFmtId="0" fontId="0" fillId="7" borderId="12" xfId="0" applyFill="1" applyBorder="1" applyAlignment="1">
      <alignment horizontal="center"/>
    </xf>
    <xf numFmtId="0" fontId="0" fillId="7" borderId="15" xfId="0" applyFill="1" applyBorder="1" applyAlignment="1">
      <alignment horizontal="center"/>
    </xf>
    <xf numFmtId="0" fontId="0" fillId="7" borderId="0" xfId="0" applyFill="1" applyAlignment="1">
      <alignment horizontal="center"/>
    </xf>
  </cellXfs>
  <cellStyles count="2">
    <cellStyle name="Comma" xfId="1" builtinId="3"/>
    <cellStyle name="Normal" xfId="0" builtinId="0"/>
  </cellStyles>
  <dxfs count="56">
    <dxf>
      <numFmt numFmtId="164" formatCode="_ * #,##0_ ;_ * \-#,##0_ ;_ * &quot;-&quot;??_ ;_ @_ "/>
    </dxf>
    <dxf>
      <font>
        <b val="0"/>
        <i val="0"/>
        <strike val="0"/>
        <condense val="0"/>
        <extend val="0"/>
        <outline val="0"/>
        <shadow val="0"/>
        <u val="none"/>
        <vertAlign val="baseline"/>
        <sz val="10"/>
        <color auto="1"/>
        <name val="Arial"/>
        <scheme val="none"/>
      </font>
      <numFmt numFmtId="35" formatCode="_ * #,##0.00_ ;_ * \-#,##0.00_ ;_ * &quot;-&quot;??_ ;_ @_ "/>
      <fill>
        <patternFill patternType="none">
          <fgColor indexed="64"/>
          <bgColor indexed="65"/>
        </patternFill>
      </fill>
    </dxf>
    <dxf>
      <numFmt numFmtId="164" formatCode="_ * #,##0_ ;_ * \-#,##0_ ;_ * &quot;-&quot;??_ ;_ @_ "/>
    </dxf>
    <dxf>
      <numFmt numFmtId="166" formatCode="_ * #,##0.0000_ ;_ * \-#,##0.0000_ ;_ * &quot;-&quot;??_ ;_ @_ "/>
    </dxf>
    <dxf>
      <font>
        <b val="0"/>
        <i val="0"/>
        <strike val="0"/>
        <condense val="0"/>
        <extend val="0"/>
        <outline val="0"/>
        <shadow val="0"/>
        <u val="none"/>
        <vertAlign val="baseline"/>
        <sz val="10"/>
        <color auto="1"/>
        <name val="Arial"/>
        <scheme val="none"/>
      </font>
      <numFmt numFmtId="35" formatCode="_ * #,##0.00_ ;_ * \-#,##0.00_ ;_ * &quot;-&quot;??_ ;_ @_ "/>
      <fill>
        <patternFill patternType="none">
          <fgColor indexed="64"/>
          <bgColor indexed="65"/>
        </patternFill>
      </fill>
    </dxf>
    <dxf>
      <numFmt numFmtId="164" formatCode="_ * #,##0_ ;_ * \-#,##0_ ;_ * &quot;-&quot;??_ ;_ @_ "/>
    </dxf>
    <dxf>
      <font>
        <b val="0"/>
        <i val="0"/>
        <strike val="0"/>
        <condense val="0"/>
        <extend val="0"/>
        <outline val="0"/>
        <shadow val="0"/>
        <u val="none"/>
        <vertAlign val="baseline"/>
        <sz val="10"/>
        <color auto="1"/>
        <name val="Arial"/>
        <scheme val="none"/>
      </font>
      <numFmt numFmtId="35" formatCode="_ * #,##0.00_ ;_ * \-#,##0.00_ ;_ * &quot;-&quot;??_ ;_ @_ "/>
      <fill>
        <patternFill patternType="none">
          <fgColor indexed="64"/>
          <bgColor indexed="65"/>
        </patternFill>
      </fill>
    </dxf>
    <dxf>
      <numFmt numFmtId="164" formatCode="_ * #,##0_ ;_ * \-#,##0_ ;_ * &quot;-&quot;??_ ;_ @_ "/>
    </dxf>
    <dxf>
      <font>
        <b val="0"/>
        <i val="0"/>
        <strike val="0"/>
        <condense val="0"/>
        <extend val="0"/>
        <outline val="0"/>
        <shadow val="0"/>
        <u val="none"/>
        <vertAlign val="baseline"/>
        <sz val="10"/>
        <color auto="1"/>
        <name val="Arial"/>
        <scheme val="none"/>
      </font>
      <numFmt numFmtId="35" formatCode="_ * #,##0.00_ ;_ * \-#,##0.00_ ;_ * &quot;-&quot;??_ ;_ @_ "/>
      <fill>
        <patternFill patternType="none">
          <fgColor indexed="64"/>
          <bgColor indexed="65"/>
        </patternFill>
      </fill>
    </dxf>
    <dxf>
      <numFmt numFmtId="164" formatCode="_ * #,##0_ ;_ * \-#,##0_ ;_ * &quot;-&quot;??_ ;_ @_ "/>
    </dxf>
    <dxf>
      <font>
        <b val="0"/>
        <i val="0"/>
        <strike val="0"/>
        <condense val="0"/>
        <extend val="0"/>
        <outline val="0"/>
        <shadow val="0"/>
        <u val="none"/>
        <vertAlign val="baseline"/>
        <sz val="10"/>
        <color auto="1"/>
        <name val="Arial"/>
        <scheme val="none"/>
      </font>
      <numFmt numFmtId="35" formatCode="_ * #,##0.00_ ;_ * \-#,##0.00_ ;_ * &quot;-&quot;??_ ;_ @_ "/>
      <fill>
        <patternFill patternType="none">
          <fgColor indexed="64"/>
          <bgColor indexed="65"/>
        </patternFill>
      </fill>
    </dxf>
    <dxf>
      <numFmt numFmtId="164" formatCode="_ * #,##0_ ;_ * \-#,##0_ ;_ * &quot;-&quot;??_ ;_ @_ "/>
    </dxf>
    <dxf>
      <font>
        <b val="0"/>
        <i val="0"/>
        <strike val="0"/>
        <condense val="0"/>
        <extend val="0"/>
        <outline val="0"/>
        <shadow val="0"/>
        <u val="none"/>
        <vertAlign val="baseline"/>
        <sz val="10"/>
        <color auto="1"/>
        <name val="Arial"/>
        <scheme val="none"/>
      </font>
      <numFmt numFmtId="35" formatCode="_ * #,##0.00_ ;_ * \-#,##0.00_ ;_ * &quot;-&quot;??_ ;_ @_ "/>
      <fill>
        <patternFill patternType="none">
          <fgColor indexed="64"/>
          <bgColor indexed="65"/>
        </patternFill>
      </fill>
    </dxf>
    <dxf>
      <font>
        <b val="0"/>
        <i val="0"/>
        <strike val="0"/>
        <condense val="0"/>
        <extend val="0"/>
        <outline val="0"/>
        <shadow val="0"/>
        <u val="none"/>
        <vertAlign val="baseline"/>
        <sz val="10"/>
        <color rgb="FF000000"/>
        <name val="Arial"/>
        <charset val="1"/>
        <scheme val="none"/>
      </font>
      <fill>
        <patternFill patternType="solid">
          <fgColor rgb="FFE2EFDA"/>
          <bgColor rgb="FFF2F2F2"/>
        </patternFill>
      </fill>
      <alignment horizontal="right"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E2EFDA"/>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E2EFDA"/>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E2EFDA"/>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E2EFDA"/>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E2EFDA"/>
          <bgColor rgb="FFF2F2F2"/>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E2EFDA"/>
          <bgColor rgb="FFF2F2F2"/>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E2EFDA"/>
          <bgColor rgb="FFF2F2F2"/>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E2EFDA"/>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E2EFDA"/>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E2EFDA"/>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E2EFDA"/>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E2EFDA"/>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E2EFDA"/>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E2EFDA"/>
          <bgColor rgb="FFF2F2F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E2EFDA"/>
          <bgColor rgb="FFF2F2F2"/>
        </patternFill>
      </fill>
      <alignment horizontal="left"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fill>
        <patternFill patternType="solid">
          <fgColor rgb="FFE2EFDA"/>
          <bgColor rgb="FFF2F2F2"/>
        </patternFill>
      </fill>
      <alignment horizontal="left" vertical="center" textRotation="0" wrapText="0" indent="0" justifyLastLine="0" shrinkToFit="0" readingOrder="0"/>
    </dxf>
    <dxf>
      <border outline="0">
        <bottom style="thin">
          <color rgb="FFBFBFBF"/>
        </bottom>
      </border>
    </dxf>
    <dxf>
      <font>
        <b/>
        <i val="0"/>
        <strike val="0"/>
        <condense val="0"/>
        <extend val="0"/>
        <outline val="0"/>
        <shadow val="0"/>
        <u val="none"/>
        <vertAlign val="baseline"/>
        <sz val="11"/>
        <color rgb="FFFFFFFF"/>
        <name val="Arial"/>
        <charset val="1"/>
        <scheme val="none"/>
      </font>
      <fill>
        <patternFill patternType="solid">
          <fgColor rgb="FF375623"/>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numFmt numFmtId="164" formatCode="_ * #,##0_ ;_ * \-#,##0_ ;_ * &quot;-&quot;??_ ;_ @_ "/>
      <border diagonalUp="0" diagonalDown="0" outline="0">
        <left style="thin">
          <color indexed="64"/>
        </left>
        <right style="thin">
          <color indexed="64"/>
        </right>
        <top style="thin">
          <color indexed="64"/>
        </top>
        <bottom style="thin">
          <color indexed="64"/>
        </bottom>
      </border>
    </dxf>
    <dxf>
      <numFmt numFmtId="164" formatCode="_ * #,##0_ ;_ * \-#,##0_ ;_ * &quot;-&quot;??_ ;_ @_ "/>
      <border diagonalUp="0" diagonalDown="0" outline="0">
        <left style="thin">
          <color indexed="64"/>
        </left>
        <right style="thin">
          <color indexed="64"/>
        </right>
        <top style="thin">
          <color indexed="64"/>
        </top>
        <bottom style="thin">
          <color indexed="64"/>
        </bottom>
      </border>
    </dxf>
    <dxf>
      <numFmt numFmtId="164" formatCode="_ * #,##0_ ;_ * \-#,##0_ ;_ * &quot;-&quot;??_ ;_ @_ "/>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charset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charset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charset val="1"/>
        <scheme val="none"/>
      </font>
      <numFmt numFmtId="19" formatCode="dd/mm/yyyy"/>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charset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charset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1"/>
        <scheme val="none"/>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charset val="1"/>
        <scheme val="none"/>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charset val="1"/>
        <scheme val="none"/>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charset val="1"/>
        <scheme val="none"/>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charset val="1"/>
        <scheme val="none"/>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charset val="1"/>
        <scheme val="none"/>
      </font>
      <border diagonalUp="0" diagonalDown="0">
        <left/>
        <right/>
        <top style="thin">
          <color theme="4"/>
        </top>
        <bottom/>
        <vertical/>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charset val="1"/>
        <scheme val="none"/>
      </font>
    </dxf>
    <dxf>
      <font>
        <b/>
        <i val="0"/>
        <strike val="0"/>
        <condense val="0"/>
        <extend val="0"/>
        <outline val="0"/>
        <shadow val="0"/>
        <u val="none"/>
        <vertAlign val="baseline"/>
        <sz val="11"/>
        <color theme="0"/>
        <name val="Calibri"/>
        <family val="2"/>
        <charset val="1"/>
        <scheme val="none"/>
      </font>
      <fill>
        <patternFill patternType="solid">
          <fgColor theme="4"/>
          <bgColor theme="4"/>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6E4F0"/>
      <rgbColor rgb="FF660066"/>
      <rgbColor rgb="FFFF8080"/>
      <rgbColor rgb="FF0066CC"/>
      <rgbColor rgb="FFE8DAE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FDEDE"/>
      <rgbColor rgb="FF2E75B6"/>
      <rgbColor rgb="FF33CCCC"/>
      <rgbColor rgb="FF99CC00"/>
      <rgbColor rgb="FFFFCC00"/>
      <rgbColor rgb="FFFF9900"/>
      <rgbColor rgb="FFE26B0A"/>
      <rgbColor rgb="FF666699"/>
      <rgbColor rgb="FF969696"/>
      <rgbColor rgb="FF1F3864"/>
      <rgbColor rgb="FF339966"/>
      <rgbColor rgb="FF003300"/>
      <rgbColor rgb="FF333300"/>
      <rgbColor rgb="FF993300"/>
      <rgbColor rgb="FF993366"/>
      <rgbColor rgb="FF5B2C6F"/>
      <rgbColor rgb="FF375623"/>
      <rgbColor rgb="00003366"/>
      <rgbColor rgb="00339966"/>
      <rgbColor rgb="00003300"/>
      <rgbColor rgb="00333300"/>
      <rgbColor rgb="00993300"/>
      <rgbColor rgb="00993366"/>
      <rgbColor rgb="00333399"/>
      <rgbColor rgb="00333333"/>
    </indexedColors>
    <mruColors>
      <color rgb="FF00FFFF"/>
      <color rgb="FF00FF00"/>
      <color rgb="FFFE1812"/>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[Indian_Retail_Sales_Project 1.xlsx]Revenue By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t>Total  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40000"/>
              <a:lumOff val="60000"/>
            </a:schemeClr>
          </a:solidFill>
          <a:ln>
            <a:noFill/>
          </a:ln>
          <a:effectLst/>
        </c:spPr>
      </c:pivotFmt>
    </c:pivotFmts>
    <c:plotArea>
      <c:layout/>
      <c:barChart>
        <c:barDir val="bar"/>
        <c:grouping val="clustered"/>
        <c:varyColors val="0"/>
        <c:ser>
          <c:idx val="0"/>
          <c:order val="0"/>
          <c:tx>
            <c:strRef>
              <c:f>'Revenue By Category'!$B$3</c:f>
              <c:strCache>
                <c:ptCount val="1"/>
                <c:pt idx="0">
                  <c:v>Total</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Category'!$A$4:$A$10</c:f>
              <c:strCache>
                <c:ptCount val="6"/>
                <c:pt idx="0">
                  <c:v>Stationery</c:v>
                </c:pt>
                <c:pt idx="1">
                  <c:v>Books</c:v>
                </c:pt>
                <c:pt idx="2">
                  <c:v>Beauty</c:v>
                </c:pt>
                <c:pt idx="3">
                  <c:v>Clothing</c:v>
                </c:pt>
                <c:pt idx="4">
                  <c:v>Footwear</c:v>
                </c:pt>
                <c:pt idx="5">
                  <c:v>Electronics</c:v>
                </c:pt>
              </c:strCache>
            </c:strRef>
          </c:cat>
          <c:val>
            <c:numRef>
              <c:f>'Revenue By Category'!$B$4:$B$10</c:f>
              <c:numCache>
                <c:formatCode>_ * #,##0_ ;_ * \-#,##0_ ;_ * "-"??_ ;_ @_ </c:formatCode>
                <c:ptCount val="6"/>
                <c:pt idx="0">
                  <c:v>26549.199999999993</c:v>
                </c:pt>
                <c:pt idx="1">
                  <c:v>56251.950000000004</c:v>
                </c:pt>
                <c:pt idx="2">
                  <c:v>98008.45</c:v>
                </c:pt>
                <c:pt idx="3">
                  <c:v>392942.55</c:v>
                </c:pt>
                <c:pt idx="4">
                  <c:v>417530.29999999993</c:v>
                </c:pt>
                <c:pt idx="5">
                  <c:v>11906977.950000001</c:v>
                </c:pt>
              </c:numCache>
            </c:numRef>
          </c:val>
          <c:extLst>
            <c:ext xmlns:c16="http://schemas.microsoft.com/office/drawing/2014/chart" uri="{C3380CC4-5D6E-409C-BE32-E72D297353CC}">
              <c16:uniqueId val="{00000000-3EFA-40D1-9A41-270631E28103}"/>
            </c:ext>
          </c:extLst>
        </c:ser>
        <c:dLbls>
          <c:dLblPos val="outEnd"/>
          <c:showLegendKey val="0"/>
          <c:showVal val="1"/>
          <c:showCatName val="0"/>
          <c:showSerName val="0"/>
          <c:showPercent val="0"/>
          <c:showBubbleSize val="0"/>
        </c:dLbls>
        <c:gapWidth val="182"/>
        <c:axId val="628948752"/>
        <c:axId val="1321521616"/>
      </c:barChart>
      <c:catAx>
        <c:axId val="62894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crossAx val="1321521616"/>
        <c:crosses val="autoZero"/>
        <c:auto val="1"/>
        <c:lblAlgn val="ctr"/>
        <c:lblOffset val="100"/>
        <c:noMultiLvlLbl val="0"/>
      </c:catAx>
      <c:valAx>
        <c:axId val="1321521616"/>
        <c:scaling>
          <c:orientation val="minMax"/>
        </c:scaling>
        <c:delete val="1"/>
        <c:axPos val="b"/>
        <c:numFmt formatCode="_ * #,##0_ ;_ * \-#,##0_ ;_ * &quot;-&quot;??_ ;_ @_ " sourceLinked="1"/>
        <c:majorTickMark val="none"/>
        <c:minorTickMark val="none"/>
        <c:tickLblPos val="nextTo"/>
        <c:crossAx val="62894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[Indian_Retail_Sales_Project 1.xlsx]Order Status!PivotTable4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none"/>
              <a:t>Total Order</a:t>
            </a:r>
            <a:r>
              <a:rPr lang="en-US" sz="1600" b="1" i="1" u="none" baseline="0"/>
              <a:t> Status</a:t>
            </a:r>
            <a:endParaRPr lang="en-US" sz="1600" b="1" i="1" u="non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6FF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dLbl>
          <c:idx val="0"/>
          <c:layout>
            <c:manualLayout>
              <c:x val="3.611111111111110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FE1812"/>
          </a:solidFill>
          <a:ln>
            <a:noFill/>
          </a:ln>
          <a:effectLst/>
        </c:spPr>
        <c:dLbl>
          <c:idx val="0"/>
          <c:layout>
            <c:manualLayout>
              <c:x val="1.1111111111111112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66FF66"/>
          </a:solidFill>
          <a:ln>
            <a:noFill/>
          </a:ln>
          <a:effectLst/>
        </c:spPr>
      </c:pivotFmt>
    </c:pivotFmts>
    <c:plotArea>
      <c:layout/>
      <c:pieChart>
        <c:varyColors val="1"/>
        <c:ser>
          <c:idx val="0"/>
          <c:order val="0"/>
          <c:tx>
            <c:strRef>
              <c:f>'Order Status'!$B$3</c:f>
              <c:strCache>
                <c:ptCount val="1"/>
                <c:pt idx="0">
                  <c:v>Total</c:v>
                </c:pt>
              </c:strCache>
            </c:strRef>
          </c:tx>
          <c:spPr>
            <a:solidFill>
              <a:srgbClr val="66FF66"/>
            </a:solidFill>
          </c:spPr>
          <c:dPt>
            <c:idx val="0"/>
            <c:bubble3D val="0"/>
            <c:spPr>
              <a:solidFill>
                <a:srgbClr val="FE1812"/>
              </a:solidFill>
              <a:ln>
                <a:noFill/>
              </a:ln>
              <a:effectLst/>
            </c:spPr>
            <c:extLst>
              <c:ext xmlns:c16="http://schemas.microsoft.com/office/drawing/2014/chart" uri="{C3380CC4-5D6E-409C-BE32-E72D297353CC}">
                <c16:uniqueId val="{00000001-52C8-4BF7-B944-198AC50E2537}"/>
              </c:ext>
            </c:extLst>
          </c:dPt>
          <c:dPt>
            <c:idx val="1"/>
            <c:bubble3D val="0"/>
            <c:spPr>
              <a:solidFill>
                <a:srgbClr val="0070C0"/>
              </a:solidFill>
              <a:ln>
                <a:noFill/>
              </a:ln>
              <a:effectLst/>
            </c:spPr>
            <c:extLst>
              <c:ext xmlns:c16="http://schemas.microsoft.com/office/drawing/2014/chart" uri="{C3380CC4-5D6E-409C-BE32-E72D297353CC}">
                <c16:uniqueId val="{00000000-52C8-4BF7-B944-198AC50E2537}"/>
              </c:ext>
            </c:extLst>
          </c:dPt>
          <c:dPt>
            <c:idx val="2"/>
            <c:bubble3D val="0"/>
            <c:spPr>
              <a:solidFill>
                <a:srgbClr val="66FF66"/>
              </a:solidFill>
              <a:ln>
                <a:noFill/>
              </a:ln>
              <a:effectLst/>
            </c:spPr>
            <c:extLst>
              <c:ext xmlns:c16="http://schemas.microsoft.com/office/drawing/2014/chart" uri="{C3380CC4-5D6E-409C-BE32-E72D297353CC}">
                <c16:uniqueId val="{00000002-52C8-4BF7-B944-198AC50E2537}"/>
              </c:ext>
            </c:extLst>
          </c:dPt>
          <c:dLbls>
            <c:dLbl>
              <c:idx val="0"/>
              <c:layout>
                <c:manualLayout>
                  <c:x val="1.1111111111111112E-2"/>
                  <c:y val="-4.629629629629629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C8-4BF7-B944-198AC50E2537}"/>
                </c:ext>
              </c:extLst>
            </c:dLbl>
            <c:dLbl>
              <c:idx val="1"/>
              <c:layout>
                <c:manualLayout>
                  <c:x val="3.6111111111111108E-2"/>
                  <c:y val="1.38888888888888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2C8-4BF7-B944-198AC50E2537}"/>
                </c:ext>
              </c:extLst>
            </c:dLbl>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Status'!$A$4:$A$7</c:f>
              <c:strCache>
                <c:ptCount val="3"/>
                <c:pt idx="0">
                  <c:v>Cancelled</c:v>
                </c:pt>
                <c:pt idx="1">
                  <c:v>Pending</c:v>
                </c:pt>
                <c:pt idx="2">
                  <c:v>Delivered</c:v>
                </c:pt>
              </c:strCache>
            </c:strRef>
          </c:cat>
          <c:val>
            <c:numRef>
              <c:f>'Order Status'!$B$4:$B$7</c:f>
              <c:numCache>
                <c:formatCode>General</c:formatCode>
                <c:ptCount val="3"/>
                <c:pt idx="0">
                  <c:v>29</c:v>
                </c:pt>
                <c:pt idx="1">
                  <c:v>36</c:v>
                </c:pt>
                <c:pt idx="2">
                  <c:v>435</c:v>
                </c:pt>
              </c:numCache>
            </c:numRef>
          </c:val>
          <c:extLst>
            <c:ext xmlns:c16="http://schemas.microsoft.com/office/drawing/2014/chart" uri="{C3380CC4-5D6E-409C-BE32-E72D297353CC}">
              <c16:uniqueId val="{00000000-9357-4A99-B673-E266821E691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[Indian_Retail_Sales_Project 1.xlsx]Revenue By State!PivotTable1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t>Total Revenue</a:t>
            </a:r>
            <a:r>
              <a:rPr lang="en-US" sz="1600" b="1" i="1" baseline="0"/>
              <a:t> By State</a:t>
            </a:r>
            <a:endParaRPr lang="en-US" sz="16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
        <c:idx val="2"/>
        <c:spPr>
          <a:solidFill>
            <a:srgbClr val="7030A0"/>
          </a:solidFill>
          <a:ln>
            <a:noFill/>
          </a:ln>
          <a:effectLst/>
        </c:spPr>
        <c:dLbl>
          <c:idx val="0"/>
          <c:layout>
            <c:manualLayout>
              <c:x val="-4.2670682730923698E-2"/>
              <c:y val="-5.27811611855460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State'!$B$3</c:f>
              <c:strCache>
                <c:ptCount val="1"/>
                <c:pt idx="0">
                  <c:v>Total</c:v>
                </c:pt>
              </c:strCache>
            </c:strRef>
          </c:tx>
          <c:spPr>
            <a:solidFill>
              <a:srgbClr val="7030A0"/>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F6AF-444B-AD26-9831D76AE3B7}"/>
              </c:ext>
            </c:extLst>
          </c:dPt>
          <c:dPt>
            <c:idx val="2"/>
            <c:invertIfNegative val="0"/>
            <c:bubble3D val="0"/>
            <c:extLst>
              <c:ext xmlns:c16="http://schemas.microsoft.com/office/drawing/2014/chart" uri="{C3380CC4-5D6E-409C-BE32-E72D297353CC}">
                <c16:uniqueId val="{00000001-CD48-4295-9C05-0B2A2EE67E41}"/>
              </c:ext>
            </c:extLst>
          </c:dPt>
          <c:dPt>
            <c:idx val="8"/>
            <c:invertIfNegative val="0"/>
            <c:bubble3D val="0"/>
            <c:extLst>
              <c:ext xmlns:c16="http://schemas.microsoft.com/office/drawing/2014/chart" uri="{C3380CC4-5D6E-409C-BE32-E72D297353CC}">
                <c16:uniqueId val="{00000000-1420-4CB0-96C1-039FE6D1A0ED}"/>
              </c:ext>
            </c:extLst>
          </c:dPt>
          <c:dLbls>
            <c:dLbl>
              <c:idx val="0"/>
              <c:layout>
                <c:manualLayout>
                  <c:x val="-4.2670682730923698E-2"/>
                  <c:y val="-5.27811611855460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AF-444B-AD26-9831D76AE3B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State'!$A$4:$A$13</c:f>
              <c:strCache>
                <c:ptCount val="9"/>
                <c:pt idx="0">
                  <c:v>Tamil Nadu</c:v>
                </c:pt>
                <c:pt idx="1">
                  <c:v>Uttar Pradesh</c:v>
                </c:pt>
                <c:pt idx="2">
                  <c:v>Karnataka</c:v>
                </c:pt>
                <c:pt idx="3">
                  <c:v>Telangana</c:v>
                </c:pt>
                <c:pt idx="4">
                  <c:v>West Bengal</c:v>
                </c:pt>
                <c:pt idx="5">
                  <c:v>Delhi</c:v>
                </c:pt>
                <c:pt idx="6">
                  <c:v>Rajasthan</c:v>
                </c:pt>
                <c:pt idx="7">
                  <c:v>Gujarat</c:v>
                </c:pt>
                <c:pt idx="8">
                  <c:v>Maharashtra</c:v>
                </c:pt>
              </c:strCache>
            </c:strRef>
          </c:cat>
          <c:val>
            <c:numRef>
              <c:f>'Revenue By State'!$B$4:$B$13</c:f>
              <c:numCache>
                <c:formatCode>_ * #,##0_ ;_ * \-#,##0_ ;_ * "-"??_ ;_ @_ </c:formatCode>
                <c:ptCount val="9"/>
                <c:pt idx="0">
                  <c:v>442884.4</c:v>
                </c:pt>
                <c:pt idx="1">
                  <c:v>970458.6</c:v>
                </c:pt>
                <c:pt idx="2">
                  <c:v>1112903.9000000001</c:v>
                </c:pt>
                <c:pt idx="3">
                  <c:v>1120085.7499999998</c:v>
                </c:pt>
                <c:pt idx="4">
                  <c:v>1148361.5000000002</c:v>
                </c:pt>
                <c:pt idx="5">
                  <c:v>1224066.7999999998</c:v>
                </c:pt>
                <c:pt idx="6">
                  <c:v>1553841.8500000003</c:v>
                </c:pt>
                <c:pt idx="7">
                  <c:v>2046506.0500000005</c:v>
                </c:pt>
                <c:pt idx="8">
                  <c:v>3279151.55</c:v>
                </c:pt>
              </c:numCache>
            </c:numRef>
          </c:val>
          <c:extLst>
            <c:ext xmlns:c16="http://schemas.microsoft.com/office/drawing/2014/chart" uri="{C3380CC4-5D6E-409C-BE32-E72D297353CC}">
              <c16:uniqueId val="{00000000-C4A8-475B-9B09-3BBE89A4C910}"/>
            </c:ext>
          </c:extLst>
        </c:ser>
        <c:dLbls>
          <c:dLblPos val="outEnd"/>
          <c:showLegendKey val="0"/>
          <c:showVal val="1"/>
          <c:showCatName val="0"/>
          <c:showSerName val="0"/>
          <c:showPercent val="0"/>
          <c:showBubbleSize val="0"/>
        </c:dLbls>
        <c:gapWidth val="182"/>
        <c:axId val="771232336"/>
        <c:axId val="814217808"/>
      </c:barChart>
      <c:catAx>
        <c:axId val="771232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crossAx val="814217808"/>
        <c:crosses val="autoZero"/>
        <c:auto val="1"/>
        <c:lblAlgn val="ctr"/>
        <c:lblOffset val="100"/>
        <c:noMultiLvlLbl val="0"/>
      </c:catAx>
      <c:valAx>
        <c:axId val="814217808"/>
        <c:scaling>
          <c:orientation val="minMax"/>
        </c:scaling>
        <c:delete val="1"/>
        <c:axPos val="b"/>
        <c:numFmt formatCode="_ * #,##0_ ;_ * \-#,##0_ ;_ * &quot;-&quot;??_ ;_ @_ " sourceLinked="1"/>
        <c:majorTickMark val="none"/>
        <c:minorTickMark val="none"/>
        <c:tickLblPos val="nextTo"/>
        <c:crossAx val="77123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[Indian_Retail_Sales_Project 1.xlsx]Revenue By Sales Person!PivotTable2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Total Revenue</a:t>
            </a:r>
            <a:r>
              <a:rPr lang="en-US" b="1" i="1" baseline="0"/>
              <a:t> By Sales Person</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
              <c:y val="-3.06614104248795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666666666666667"/>
              <c:y val="-4.38020148926850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5555555555555558E-3"/>
              <c:y val="-0.113885238720981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7777777777777807E-2"/>
              <c:y val="-9.19842312746386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555555555555556"/>
              <c:y val="3.5041611914147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1111111111111012E-2"/>
              <c:y val="5.69426193604905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'Revenue By Sales Person'!$B$3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474A-4ED9-959D-85EBD902FF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474A-4ED9-959D-85EBD902FF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474A-4ED9-959D-85EBD902FF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474A-4ED9-959D-85EBD902FF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5-474A-4ED9-959D-85EBD902FF5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4-474A-4ED9-959D-85EBD902FF54}"/>
              </c:ext>
            </c:extLst>
          </c:dPt>
          <c:dLbls>
            <c:dLbl>
              <c:idx val="0"/>
              <c:layout>
                <c:manualLayout>
                  <c:x val="0.11666666666666667"/>
                  <c:y val="-4.38020148926850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4A-4ED9-959D-85EBD902FF54}"/>
                </c:ext>
              </c:extLst>
            </c:dLbl>
            <c:dLbl>
              <c:idx val="1"/>
              <c:layout>
                <c:manualLayout>
                  <c:x val="0.1"/>
                  <c:y val="-3.06614104248795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4A-4ED9-959D-85EBD902FF54}"/>
                </c:ext>
              </c:extLst>
            </c:dLbl>
            <c:dLbl>
              <c:idx val="2"/>
              <c:layout>
                <c:manualLayout>
                  <c:x val="6.1111111111111012E-2"/>
                  <c:y val="5.69426193604905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74A-4ED9-959D-85EBD902FF54}"/>
                </c:ext>
              </c:extLst>
            </c:dLbl>
            <c:dLbl>
              <c:idx val="3"/>
              <c:layout>
                <c:manualLayout>
                  <c:x val="-0.10555555555555556"/>
                  <c:y val="3.504161191414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74A-4ED9-959D-85EBD902FF54}"/>
                </c:ext>
              </c:extLst>
            </c:dLbl>
            <c:dLbl>
              <c:idx val="4"/>
              <c:layout>
                <c:manualLayout>
                  <c:x val="-7.7777777777777807E-2"/>
                  <c:y val="-9.19842312746386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4A-4ED9-959D-85EBD902FF54}"/>
                </c:ext>
              </c:extLst>
            </c:dLbl>
            <c:dLbl>
              <c:idx val="5"/>
              <c:layout>
                <c:manualLayout>
                  <c:x val="-5.5555555555555558E-3"/>
                  <c:y val="-0.113885238720981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4A-4ED9-959D-85EBD902FF5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Sales Person'!$A$4:$A$10</c:f>
              <c:strCache>
                <c:ptCount val="6"/>
                <c:pt idx="0">
                  <c:v>Amit</c:v>
                </c:pt>
                <c:pt idx="1">
                  <c:v>Kavita</c:v>
                </c:pt>
                <c:pt idx="2">
                  <c:v>Neha</c:v>
                </c:pt>
                <c:pt idx="3">
                  <c:v>Rohit</c:v>
                </c:pt>
                <c:pt idx="4">
                  <c:v>Suresh</c:v>
                </c:pt>
                <c:pt idx="5">
                  <c:v>Umknowm</c:v>
                </c:pt>
              </c:strCache>
            </c:strRef>
          </c:cat>
          <c:val>
            <c:numRef>
              <c:f>'Revenue By Sales Person'!$B$4:$B$10</c:f>
              <c:numCache>
                <c:formatCode>_ * #,##0_ ;_ * \-#,##0_ ;_ * "-"??_ ;_ @_ </c:formatCode>
                <c:ptCount val="6"/>
                <c:pt idx="0">
                  <c:v>1433780.5999999999</c:v>
                </c:pt>
                <c:pt idx="1">
                  <c:v>2277321.0500000003</c:v>
                </c:pt>
                <c:pt idx="2">
                  <c:v>2214665.5000000009</c:v>
                </c:pt>
                <c:pt idx="3">
                  <c:v>3939205.35</c:v>
                </c:pt>
                <c:pt idx="4">
                  <c:v>2371506.3499999996</c:v>
                </c:pt>
                <c:pt idx="5">
                  <c:v>661781.54999999981</c:v>
                </c:pt>
              </c:numCache>
            </c:numRef>
          </c:val>
          <c:extLst>
            <c:ext xmlns:c16="http://schemas.microsoft.com/office/drawing/2014/chart" uri="{C3380CC4-5D6E-409C-BE32-E72D297353CC}">
              <c16:uniqueId val="{00000000-474A-4ED9-959D-85EBD902FF5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[Indian_Retail_Sales_Project 1.xlsx]Average Rating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t>Average</a:t>
            </a:r>
            <a:r>
              <a:rPr lang="en-US" sz="1600" b="1" i="1" baseline="0"/>
              <a:t> Rating By Product</a:t>
            </a:r>
            <a:endParaRPr lang="en-US" sz="16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FF00"/>
            </a:solidFill>
            <a:round/>
          </a:ln>
          <a:effectLst/>
        </c:spPr>
        <c:marker>
          <c:symbol val="circle"/>
          <c:size val="5"/>
          <c:spPr>
            <a:solidFill>
              <a:srgbClr val="00B050"/>
            </a:solidFill>
            <a:ln w="9525">
              <a:solidFill>
                <a:srgbClr val="00FF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FF00"/>
            </a:solidFill>
            <a:round/>
          </a:ln>
          <a:effectLst/>
        </c:spPr>
        <c:marker>
          <c:symbol val="circle"/>
          <c:size val="5"/>
          <c:spPr>
            <a:solidFill>
              <a:srgbClr val="00B050"/>
            </a:solidFill>
            <a:ln w="9525">
              <a:solidFill>
                <a:srgbClr val="00FF00"/>
              </a:solidFill>
            </a:ln>
            <a:effectLst/>
          </c:spPr>
        </c:marker>
      </c:pivotFmt>
      <c:pivotFmt>
        <c:idx val="2"/>
        <c:spPr>
          <a:ln w="28575" cap="rnd">
            <a:solidFill>
              <a:srgbClr val="00FF00"/>
            </a:solidFill>
            <a:round/>
          </a:ln>
          <a:effectLst/>
        </c:spPr>
        <c:marker>
          <c:symbol val="circle"/>
          <c:size val="5"/>
          <c:spPr>
            <a:solidFill>
              <a:srgbClr val="00B050"/>
            </a:solidFill>
            <a:ln w="9525">
              <a:solidFill>
                <a:srgbClr val="00FF00"/>
              </a:solidFill>
            </a:ln>
            <a:effectLst/>
          </c:spPr>
        </c:marker>
      </c:pivotFmt>
      <c:pivotFmt>
        <c:idx val="3"/>
        <c:spPr>
          <a:ln w="28575" cap="rnd">
            <a:solidFill>
              <a:srgbClr val="00FF00"/>
            </a:solidFill>
            <a:round/>
          </a:ln>
          <a:effectLst/>
        </c:spPr>
        <c:marker>
          <c:symbol val="circle"/>
          <c:size val="5"/>
          <c:spPr>
            <a:solidFill>
              <a:srgbClr val="00B050"/>
            </a:solidFill>
            <a:ln w="9525">
              <a:solidFill>
                <a:srgbClr val="00FF00"/>
              </a:solidFill>
            </a:ln>
            <a:effectLst/>
          </c:spPr>
        </c:marker>
      </c:pivotFmt>
    </c:pivotFmts>
    <c:plotArea>
      <c:layout/>
      <c:lineChart>
        <c:grouping val="stacked"/>
        <c:varyColors val="0"/>
        <c:ser>
          <c:idx val="0"/>
          <c:order val="0"/>
          <c:tx>
            <c:strRef>
              <c:f>'Average Rating '!$B$3</c:f>
              <c:strCache>
                <c:ptCount val="1"/>
                <c:pt idx="0">
                  <c:v>Total</c:v>
                </c:pt>
              </c:strCache>
            </c:strRef>
          </c:tx>
          <c:spPr>
            <a:ln w="28575" cap="rnd">
              <a:solidFill>
                <a:srgbClr val="00FF00"/>
              </a:solidFill>
              <a:round/>
            </a:ln>
            <a:effectLst/>
          </c:spPr>
          <c:marker>
            <c:symbol val="circle"/>
            <c:size val="5"/>
            <c:spPr>
              <a:solidFill>
                <a:srgbClr val="00B050"/>
              </a:solidFill>
              <a:ln w="9525">
                <a:solidFill>
                  <a:srgbClr val="00FF00"/>
                </a:solidFill>
              </a:ln>
              <a:effectLst/>
            </c:spPr>
          </c:marker>
          <c:cat>
            <c:strRef>
              <c:f>'Average Rating '!$A$4:$A$19</c:f>
              <c:strCache>
                <c:ptCount val="15"/>
                <c:pt idx="0">
                  <c:v>Face Cream</c:v>
                </c:pt>
                <c:pt idx="1">
                  <c:v>Headphones</c:v>
                </c:pt>
                <c:pt idx="2">
                  <c:v>Jeans</c:v>
                </c:pt>
                <c:pt idx="3">
                  <c:v>Kurta</c:v>
                </c:pt>
                <c:pt idx="4">
                  <c:v>Laptop</c:v>
                </c:pt>
                <c:pt idx="5">
                  <c:v>Notebook</c:v>
                </c:pt>
                <c:pt idx="6">
                  <c:v>Novel</c:v>
                </c:pt>
                <c:pt idx="7">
                  <c:v>Pen Set</c:v>
                </c:pt>
                <c:pt idx="8">
                  <c:v>Sandals</c:v>
                </c:pt>
                <c:pt idx="9">
                  <c:v>Shampoo</c:v>
                </c:pt>
                <c:pt idx="10">
                  <c:v>Smartphone</c:v>
                </c:pt>
                <c:pt idx="11">
                  <c:v>Smartwatch</c:v>
                </c:pt>
                <c:pt idx="12">
                  <c:v>Sneakers</c:v>
                </c:pt>
                <c:pt idx="13">
                  <c:v>Tablet</c:v>
                </c:pt>
                <c:pt idx="14">
                  <c:v>T-Shirt</c:v>
                </c:pt>
              </c:strCache>
            </c:strRef>
          </c:cat>
          <c:val>
            <c:numRef>
              <c:f>'Average Rating '!$B$4:$B$19</c:f>
              <c:numCache>
                <c:formatCode>General</c:formatCode>
                <c:ptCount val="15"/>
                <c:pt idx="0">
                  <c:v>3.2380952380952381</c:v>
                </c:pt>
                <c:pt idx="1">
                  <c:v>2.9310344827586206</c:v>
                </c:pt>
                <c:pt idx="2">
                  <c:v>2.6129032258064515</c:v>
                </c:pt>
                <c:pt idx="3">
                  <c:v>2.8076923076923075</c:v>
                </c:pt>
                <c:pt idx="4">
                  <c:v>2.7692307692307692</c:v>
                </c:pt>
                <c:pt idx="5">
                  <c:v>3.1</c:v>
                </c:pt>
                <c:pt idx="6">
                  <c:v>3.2352941176470589</c:v>
                </c:pt>
                <c:pt idx="7">
                  <c:v>3.3333333333333335</c:v>
                </c:pt>
                <c:pt idx="8">
                  <c:v>2.652173913043478</c:v>
                </c:pt>
                <c:pt idx="9">
                  <c:v>3</c:v>
                </c:pt>
                <c:pt idx="10">
                  <c:v>3.375</c:v>
                </c:pt>
                <c:pt idx="11">
                  <c:v>2.925925925925926</c:v>
                </c:pt>
                <c:pt idx="12">
                  <c:v>2.9666666666666668</c:v>
                </c:pt>
                <c:pt idx="13">
                  <c:v>3</c:v>
                </c:pt>
                <c:pt idx="14">
                  <c:v>2.5217391304347827</c:v>
                </c:pt>
              </c:numCache>
            </c:numRef>
          </c:val>
          <c:smooth val="0"/>
          <c:extLst>
            <c:ext xmlns:c16="http://schemas.microsoft.com/office/drawing/2014/chart" uri="{C3380CC4-5D6E-409C-BE32-E72D297353CC}">
              <c16:uniqueId val="{00000000-E02C-43AB-9137-3042906079C7}"/>
            </c:ext>
          </c:extLst>
        </c:ser>
        <c:dLbls>
          <c:showLegendKey val="0"/>
          <c:showVal val="0"/>
          <c:showCatName val="0"/>
          <c:showSerName val="0"/>
          <c:showPercent val="0"/>
          <c:showBubbleSize val="0"/>
        </c:dLbls>
        <c:marker val="1"/>
        <c:smooth val="0"/>
        <c:axId val="771238832"/>
        <c:axId val="814217328"/>
      </c:lineChart>
      <c:catAx>
        <c:axId val="77123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814217328"/>
        <c:crosses val="autoZero"/>
        <c:auto val="1"/>
        <c:lblAlgn val="ctr"/>
        <c:lblOffset val="100"/>
        <c:noMultiLvlLbl val="0"/>
      </c:catAx>
      <c:valAx>
        <c:axId val="81421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123883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[Indian_Retail_Sales_Project 1.xlsx]Monthly Revenue By Category!PivotTable4</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Monthly Revenue By Category</a:t>
            </a:r>
          </a:p>
        </c:rich>
      </c:tx>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c:spPr>
        <c:marker>
          <c:symbol val="circle"/>
          <c:size val="6"/>
          <c:spPr>
            <a:solidFill>
              <a:srgbClr val="92D050"/>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layout>
            <c:manualLayout>
              <c:x val="0.11944444444444445"/>
              <c:y val="-0.34722222222222227"/>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4.7222222222222221E-2"/>
              <c:y val="-0.19444444444444445"/>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05"/>
              <c:y val="-0.11574074074074074"/>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4444444444444446E-2"/>
              <c:y val="-0.10185185185185185"/>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2222222222222119E-2"/>
              <c:y val="-9.259259259259258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3888888888888888E-2"/>
              <c:y val="-7.87037037037037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c:spPr>
        <c:marker>
          <c:symbol val="circle"/>
          <c:size val="6"/>
          <c:spPr>
            <a:solidFill>
              <a:srgbClr val="92D050"/>
            </a:solidFill>
            <a:ln w="9525">
              <a:solidFill>
                <a:schemeClr val="accent1"/>
              </a:solidFill>
              <a:round/>
            </a:ln>
            <a:effectLst/>
          </c:spPr>
        </c:marker>
      </c:pivotFmt>
      <c:pivotFmt>
        <c:idx val="8"/>
        <c:spPr>
          <a:ln w="34925" cap="rnd">
            <a:solidFill>
              <a:schemeClr val="accent1"/>
            </a:solidFill>
            <a:round/>
          </a:ln>
          <a:effectLst/>
        </c:spPr>
        <c:marker>
          <c:symbol val="circle"/>
          <c:size val="6"/>
          <c:spPr>
            <a:solidFill>
              <a:srgbClr val="92D050"/>
            </a:solidFill>
            <a:ln w="9525">
              <a:solidFill>
                <a:schemeClr val="accent1"/>
              </a:solidFill>
              <a:round/>
            </a:ln>
            <a:effectLst/>
          </c:spPr>
        </c:marker>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solidFill>
            <a:round/>
          </a:ln>
          <a:effectLst/>
        </c:spPr>
        <c:marker>
          <c:symbol val="circle"/>
          <c:size val="6"/>
          <c:spPr>
            <a:solidFill>
              <a:srgbClr val="92D050"/>
            </a:solidFill>
            <a:ln w="9525">
              <a:solidFill>
                <a:schemeClr val="accent1"/>
              </a:solidFill>
              <a:round/>
            </a:ln>
            <a:effectLst/>
          </c:spPr>
        </c:marker>
      </c:pivotFmt>
    </c:pivotFmts>
    <c:plotArea>
      <c:layout>
        <c:manualLayout>
          <c:layoutTarget val="inner"/>
          <c:xMode val="edge"/>
          <c:yMode val="edge"/>
          <c:x val="0.15688670166229221"/>
          <c:y val="0.2061574074074074"/>
          <c:w val="0.81533552055992997"/>
          <c:h val="0.4889421114027413"/>
        </c:manualLayout>
      </c:layout>
      <c:lineChart>
        <c:grouping val="standard"/>
        <c:varyColors val="0"/>
        <c:ser>
          <c:idx val="0"/>
          <c:order val="0"/>
          <c:tx>
            <c:strRef>
              <c:f>'Monthly Revenue By Category'!$B$3</c:f>
              <c:strCache>
                <c:ptCount val="1"/>
                <c:pt idx="0">
                  <c:v>Total</c:v>
                </c:pt>
              </c:strCache>
            </c:strRef>
          </c:tx>
          <c:spPr>
            <a:ln w="34925" cap="rnd">
              <a:solidFill>
                <a:schemeClr val="accent1"/>
              </a:solidFill>
              <a:round/>
            </a:ln>
            <a:effectLst/>
          </c:spPr>
          <c:marker>
            <c:symbol val="circle"/>
            <c:size val="6"/>
            <c:spPr>
              <a:solidFill>
                <a:srgbClr val="92D050"/>
              </a:solidFill>
              <a:ln w="9525">
                <a:solidFill>
                  <a:schemeClr val="accent1"/>
                </a:solidFill>
                <a:round/>
              </a:ln>
              <a:effectLst/>
            </c:spPr>
          </c:marker>
          <c:dPt>
            <c:idx val="0"/>
            <c:marker>
              <c:symbol val="circle"/>
              <c:size val="6"/>
              <c:spPr>
                <a:solidFill>
                  <a:srgbClr val="92D050"/>
                </a:solidFill>
                <a:ln w="9525">
                  <a:solidFill>
                    <a:schemeClr val="accent1"/>
                  </a:solidFill>
                  <a:round/>
                </a:ln>
                <a:effectLst/>
              </c:spPr>
            </c:marker>
            <c:bubble3D val="0"/>
            <c:extLst>
              <c:ext xmlns:c16="http://schemas.microsoft.com/office/drawing/2014/chart" uri="{C3380CC4-5D6E-409C-BE32-E72D297353CC}">
                <c16:uniqueId val="{00000001-BB91-4BCD-B90D-217F05521AE2}"/>
              </c:ext>
            </c:extLst>
          </c:dPt>
          <c:trendline>
            <c:spPr>
              <a:ln w="19050" cap="rnd">
                <a:solidFill>
                  <a:schemeClr val="accent1"/>
                </a:solidFill>
              </a:ln>
              <a:effectLst/>
            </c:spPr>
            <c:trendlineType val="linear"/>
            <c:dispRSqr val="0"/>
            <c:dispEq val="0"/>
          </c:trendline>
          <c:cat>
            <c:strRef>
              <c:f>'Monthly Revenue By Category'!$A$4:$A$19</c:f>
              <c:strCache>
                <c:ptCount val="15"/>
                <c:pt idx="0">
                  <c:v>Face Cream</c:v>
                </c:pt>
                <c:pt idx="1">
                  <c:v>Headphones</c:v>
                </c:pt>
                <c:pt idx="2">
                  <c:v>Jeans</c:v>
                </c:pt>
                <c:pt idx="3">
                  <c:v>Kurta</c:v>
                </c:pt>
                <c:pt idx="4">
                  <c:v>Laptop</c:v>
                </c:pt>
                <c:pt idx="5">
                  <c:v>Notebook</c:v>
                </c:pt>
                <c:pt idx="6">
                  <c:v>Novel</c:v>
                </c:pt>
                <c:pt idx="7">
                  <c:v>Pen Set</c:v>
                </c:pt>
                <c:pt idx="8">
                  <c:v>Sandals</c:v>
                </c:pt>
                <c:pt idx="9">
                  <c:v>Shampoo</c:v>
                </c:pt>
                <c:pt idx="10">
                  <c:v>Smartphone</c:v>
                </c:pt>
                <c:pt idx="11">
                  <c:v>Smartwatch</c:v>
                </c:pt>
                <c:pt idx="12">
                  <c:v>Sneakers</c:v>
                </c:pt>
                <c:pt idx="13">
                  <c:v>Tablet</c:v>
                </c:pt>
                <c:pt idx="14">
                  <c:v>T-Shirt</c:v>
                </c:pt>
              </c:strCache>
            </c:strRef>
          </c:cat>
          <c:val>
            <c:numRef>
              <c:f>'Monthly Revenue By Category'!$B$4:$B$19</c:f>
              <c:numCache>
                <c:formatCode>_ * #,##0_ ;_ * \-#,##0_ ;_ * "-"??_ ;_ @_ </c:formatCode>
                <c:ptCount val="15"/>
                <c:pt idx="0">
                  <c:v>57612.7</c:v>
                </c:pt>
                <c:pt idx="1">
                  <c:v>347855.7</c:v>
                </c:pt>
                <c:pt idx="2">
                  <c:v>193754.75</c:v>
                </c:pt>
                <c:pt idx="3">
                  <c:v>109049.85</c:v>
                </c:pt>
                <c:pt idx="4">
                  <c:v>5429919.3999999994</c:v>
                </c:pt>
                <c:pt idx="5">
                  <c:v>10488.65</c:v>
                </c:pt>
                <c:pt idx="6">
                  <c:v>56251.950000000004</c:v>
                </c:pt>
                <c:pt idx="7">
                  <c:v>16060.55</c:v>
                </c:pt>
                <c:pt idx="8">
                  <c:v>77398.899999999994</c:v>
                </c:pt>
                <c:pt idx="9">
                  <c:v>40395.75</c:v>
                </c:pt>
                <c:pt idx="10">
                  <c:v>2974000.75</c:v>
                </c:pt>
                <c:pt idx="11">
                  <c:v>915684.2</c:v>
                </c:pt>
                <c:pt idx="12">
                  <c:v>340131.39999999997</c:v>
                </c:pt>
                <c:pt idx="13">
                  <c:v>2239517.9</c:v>
                </c:pt>
                <c:pt idx="14">
                  <c:v>90137.95</c:v>
                </c:pt>
              </c:numCache>
            </c:numRef>
          </c:val>
          <c:smooth val="0"/>
          <c:extLst>
            <c:ext xmlns:c16="http://schemas.microsoft.com/office/drawing/2014/chart" uri="{C3380CC4-5D6E-409C-BE32-E72D297353CC}">
              <c16:uniqueId val="{00000000-7131-4C9E-A903-06350DC5A06A}"/>
            </c:ext>
          </c:extLst>
        </c:ser>
        <c:dLbls>
          <c:showLegendKey val="0"/>
          <c:showVal val="0"/>
          <c:showCatName val="0"/>
          <c:showSerName val="0"/>
          <c:showPercent val="0"/>
          <c:showBubbleSize val="0"/>
        </c:dLbls>
        <c:marker val="1"/>
        <c:smooth val="0"/>
        <c:axId val="780393136"/>
        <c:axId val="1683637680"/>
      </c:lineChart>
      <c:catAx>
        <c:axId val="7803931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3637680"/>
        <c:crosses val="autoZero"/>
        <c:auto val="1"/>
        <c:lblAlgn val="ctr"/>
        <c:lblOffset val="100"/>
        <c:noMultiLvlLbl val="0"/>
      </c:catAx>
      <c:valAx>
        <c:axId val="1683637680"/>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03931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[Indian_Retail_Sales_Project 1.xlsx]Cities As per Revenue!PivotTable5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t>Top</a:t>
            </a:r>
            <a:r>
              <a:rPr lang="en-US" sz="1600" b="1" i="1" baseline="0"/>
              <a:t> 5 Cities As per Revenue</a:t>
            </a:r>
            <a:endParaRPr lang="en-US" sz="1600" b="1" i="1"/>
          </a:p>
        </c:rich>
      </c:tx>
      <c:overlay val="0"/>
      <c:spPr>
        <a:noFill/>
        <a:ln>
          <a:noFill/>
        </a:ln>
        <a:effectLst/>
      </c:spPr>
    </c:title>
    <c:autoTitleDeleted val="0"/>
    <c:pivotFmts>
      <c:pivotFmt>
        <c:idx val="0"/>
        <c:spPr>
          <a:gradFill flip="none" rotWithShape="1">
            <a:gsLst>
              <a:gs pos="0">
                <a:srgbClr val="00FFFF">
                  <a:shade val="30000"/>
                  <a:satMod val="115000"/>
                </a:srgbClr>
              </a:gs>
              <a:gs pos="50000">
                <a:srgbClr val="00FFFF">
                  <a:shade val="67500"/>
                  <a:satMod val="115000"/>
                </a:srgbClr>
              </a:gs>
              <a:gs pos="100000">
                <a:srgbClr val="00FFFF">
                  <a:shade val="100000"/>
                  <a:satMod val="115000"/>
                </a:srgb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44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'Cities As per Revenue'!$B$3</c:f>
              <c:strCache>
                <c:ptCount val="1"/>
                <c:pt idx="0">
                  <c:v>Total</c:v>
                </c:pt>
              </c:strCache>
            </c:strRef>
          </c:tx>
          <c:spPr>
            <a:gradFill flip="none" rotWithShape="1">
              <a:gsLst>
                <a:gs pos="0">
                  <a:srgbClr val="00FFFF">
                    <a:shade val="30000"/>
                    <a:satMod val="115000"/>
                  </a:srgbClr>
                </a:gs>
                <a:gs pos="50000">
                  <a:srgbClr val="00FFFF">
                    <a:shade val="67500"/>
                    <a:satMod val="115000"/>
                  </a:srgbClr>
                </a:gs>
                <a:gs pos="100000">
                  <a:srgbClr val="00FFFF">
                    <a:shade val="100000"/>
                    <a:satMod val="115000"/>
                  </a:srgbClr>
                </a:gs>
              </a:gsLst>
              <a:lin ang="8100000" scaled="1"/>
              <a:tileRect/>
            </a:gradFill>
            <a:ln>
              <a:noFill/>
            </a:ln>
            <a:effectLst/>
            <a:sp3d/>
          </c:spPr>
          <c:invertIfNegative val="0"/>
          <c:dLbls>
            <c:spPr>
              <a:noFill/>
              <a:ln>
                <a:noFill/>
              </a:ln>
              <a:effectLst/>
            </c:spPr>
            <c:txPr>
              <a:bodyPr rot="0" spcFirstLastPara="1" vertOverflow="ellipsis" vert="horz" wrap="square" lIns="38100" tIns="144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'Cities As per Revenue'!$A$4:$A$9</c:f>
              <c:strCache>
                <c:ptCount val="5"/>
                <c:pt idx="0">
                  <c:v>Jaipur</c:v>
                </c:pt>
                <c:pt idx="1">
                  <c:v>Delhi</c:v>
                </c:pt>
                <c:pt idx="2">
                  <c:v>Kolkata</c:v>
                </c:pt>
                <c:pt idx="3">
                  <c:v>Mumbai</c:v>
                </c:pt>
                <c:pt idx="4">
                  <c:v>Surat</c:v>
                </c:pt>
              </c:strCache>
            </c:strRef>
          </c:cat>
          <c:val>
            <c:numRef>
              <c:f>'Cities As per Revenue'!$B$4:$B$9</c:f>
              <c:numCache>
                <c:formatCode>_ * #,##0_ ;_ * \-#,##0_ ;_ * "-"??_ ;_ @_ </c:formatCode>
                <c:ptCount val="5"/>
                <c:pt idx="0">
                  <c:v>1553841.8500000003</c:v>
                </c:pt>
                <c:pt idx="1">
                  <c:v>1224066.7999999998</c:v>
                </c:pt>
                <c:pt idx="2">
                  <c:v>1148361.5000000002</c:v>
                </c:pt>
                <c:pt idx="3">
                  <c:v>1147994.3999999999</c:v>
                </c:pt>
                <c:pt idx="4">
                  <c:v>1125926.7999999998</c:v>
                </c:pt>
              </c:numCache>
            </c:numRef>
          </c:val>
          <c:extLst>
            <c:ext xmlns:c16="http://schemas.microsoft.com/office/drawing/2014/chart" uri="{C3380CC4-5D6E-409C-BE32-E72D297353CC}">
              <c16:uniqueId val="{00000000-9184-4B69-9EA3-76D0C193758B}"/>
            </c:ext>
          </c:extLst>
        </c:ser>
        <c:dLbls>
          <c:showLegendKey val="0"/>
          <c:showVal val="1"/>
          <c:showCatName val="0"/>
          <c:showSerName val="0"/>
          <c:showPercent val="0"/>
          <c:showBubbleSize val="0"/>
        </c:dLbls>
        <c:gapWidth val="150"/>
        <c:shape val="box"/>
        <c:axId val="1624027760"/>
        <c:axId val="814178448"/>
        <c:axId val="0"/>
      </c:bar3DChart>
      <c:catAx>
        <c:axId val="1624027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crossAx val="814178448"/>
        <c:crosses val="autoZero"/>
        <c:auto val="1"/>
        <c:lblAlgn val="ctr"/>
        <c:lblOffset val="100"/>
        <c:noMultiLvlLbl val="0"/>
      </c:catAx>
      <c:valAx>
        <c:axId val="814178448"/>
        <c:scaling>
          <c:orientation val="minMax"/>
        </c:scaling>
        <c:delete val="1"/>
        <c:axPos val="l"/>
        <c:numFmt formatCode="_ * #,##0_ ;_ * \-#,##0_ ;_ * &quot;-&quot;??_ ;_ @_ " sourceLinked="1"/>
        <c:majorTickMark val="none"/>
        <c:minorTickMark val="none"/>
        <c:tickLblPos val="nextTo"/>
        <c:crossAx val="162402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[Indian_Retail_Sales_Project 1.xlsx]revenue by payment method!PivotTable6</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400" i="1"/>
              <a:t>Total revenue by payment method</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8888888888888892E-2"/>
              <c:y val="-0.1111111111111111"/>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05555555555555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1944444444444446"/>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7222222222222224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'revenue by payment method'!$B$3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4EB6-462F-A067-1AEBD811500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EB6-462F-A067-1AEBD811500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4EB6-462F-A067-1AEBD811500B}"/>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EB6-462F-A067-1AEBD811500B}"/>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4EB6-462F-A067-1AEBD811500B}"/>
              </c:ext>
            </c:extLst>
          </c:dPt>
          <c:dLbls>
            <c:dLbl>
              <c:idx val="0"/>
              <c:layout>
                <c:manualLayout>
                  <c:x val="8.8888888888888892E-2"/>
                  <c:y val="-0.1111111111111111"/>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4EB6-462F-A067-1AEBD811500B}"/>
                </c:ext>
              </c:extLst>
            </c:dLbl>
            <c:dLbl>
              <c:idx val="1"/>
              <c:layout>
                <c:manualLayout>
                  <c:x val="0.13055555555555556"/>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EB6-462F-A067-1AEBD811500B}"/>
                </c:ext>
              </c:extLst>
            </c:dLbl>
            <c:dLbl>
              <c:idx val="2"/>
              <c:layout>
                <c:manualLayout>
                  <c:x val="0.15"/>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4EB6-462F-A067-1AEBD811500B}"/>
                </c:ext>
              </c:extLst>
            </c:dLbl>
            <c:dLbl>
              <c:idx val="3"/>
              <c:layout>
                <c:manualLayout>
                  <c:x val="-0.11944444444444446"/>
                  <c:y val="6.94444444444443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EB6-462F-A067-1AEBD811500B}"/>
                </c:ext>
              </c:extLst>
            </c:dLbl>
            <c:dLbl>
              <c:idx val="4"/>
              <c:layout>
                <c:manualLayout>
                  <c:x val="-9.7222222222222224E-2"/>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4EB6-462F-A067-1AEBD811500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payment method'!$A$4:$A$9</c:f>
              <c:strCache>
                <c:ptCount val="5"/>
                <c:pt idx="0">
                  <c:v>Cash On Delivery</c:v>
                </c:pt>
                <c:pt idx="1">
                  <c:v>Credit Card</c:v>
                </c:pt>
                <c:pt idx="2">
                  <c:v>Debit Card</c:v>
                </c:pt>
                <c:pt idx="3">
                  <c:v>Net Banking</c:v>
                </c:pt>
                <c:pt idx="4">
                  <c:v>Upi</c:v>
                </c:pt>
              </c:strCache>
            </c:strRef>
          </c:cat>
          <c:val>
            <c:numRef>
              <c:f>'revenue by payment method'!$B$4:$B$9</c:f>
              <c:numCache>
                <c:formatCode>_ * #,##0_ ;_ * \-#,##0_ ;_ * "-"??_ ;_ @_ </c:formatCode>
                <c:ptCount val="5"/>
                <c:pt idx="0">
                  <c:v>2080893.8000000003</c:v>
                </c:pt>
                <c:pt idx="1">
                  <c:v>2330528.9500000002</c:v>
                </c:pt>
                <c:pt idx="2">
                  <c:v>2316671.5</c:v>
                </c:pt>
                <c:pt idx="3">
                  <c:v>3126825.0000000005</c:v>
                </c:pt>
                <c:pt idx="4">
                  <c:v>3043341.1499999994</c:v>
                </c:pt>
              </c:numCache>
            </c:numRef>
          </c:val>
          <c:extLst>
            <c:ext xmlns:c16="http://schemas.microsoft.com/office/drawing/2014/chart" uri="{C3380CC4-5D6E-409C-BE32-E72D297353CC}">
              <c16:uniqueId val="{00000000-4EB6-462F-A067-1AEBD811500B}"/>
            </c:ext>
          </c:extLst>
        </c:ser>
        <c:dLbls>
          <c:showLegendKey val="0"/>
          <c:showVal val="0"/>
          <c:showCatName val="0"/>
          <c:showSerName val="0"/>
          <c:showPercent val="1"/>
          <c:showBubbleSize val="0"/>
          <c:showLeaderLines val="1"/>
        </c:dLbls>
        <c:firstSliceAng val="0"/>
        <c:holeSize val="50"/>
      </c:doughnutChart>
      <c:spPr>
        <a:noFill/>
        <a:ln>
          <a:noFill/>
        </a:ln>
        <a:effectLst/>
        <a:sp3d/>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[Indian_Retail_Sales_Project 1.xlsx]Revenue By Category!PivotTable3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t>Total  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Category'!$B$3</c:f>
              <c:strCache>
                <c:ptCount val="1"/>
                <c:pt idx="0">
                  <c:v>Total</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Category'!$A$4:$A$10</c:f>
              <c:strCache>
                <c:ptCount val="6"/>
                <c:pt idx="0">
                  <c:v>Stationery</c:v>
                </c:pt>
                <c:pt idx="1">
                  <c:v>Books</c:v>
                </c:pt>
                <c:pt idx="2">
                  <c:v>Beauty</c:v>
                </c:pt>
                <c:pt idx="3">
                  <c:v>Clothing</c:v>
                </c:pt>
                <c:pt idx="4">
                  <c:v>Footwear</c:v>
                </c:pt>
                <c:pt idx="5">
                  <c:v>Electronics</c:v>
                </c:pt>
              </c:strCache>
            </c:strRef>
          </c:cat>
          <c:val>
            <c:numRef>
              <c:f>'Revenue By Category'!$B$4:$B$10</c:f>
              <c:numCache>
                <c:formatCode>_ * #,##0_ ;_ * \-#,##0_ ;_ * "-"??_ ;_ @_ </c:formatCode>
                <c:ptCount val="6"/>
                <c:pt idx="0">
                  <c:v>26549.199999999993</c:v>
                </c:pt>
                <c:pt idx="1">
                  <c:v>56251.950000000004</c:v>
                </c:pt>
                <c:pt idx="2">
                  <c:v>98008.45</c:v>
                </c:pt>
                <c:pt idx="3">
                  <c:v>392942.55</c:v>
                </c:pt>
                <c:pt idx="4">
                  <c:v>417530.29999999993</c:v>
                </c:pt>
                <c:pt idx="5">
                  <c:v>11906977.950000001</c:v>
                </c:pt>
              </c:numCache>
            </c:numRef>
          </c:val>
          <c:extLst>
            <c:ext xmlns:c16="http://schemas.microsoft.com/office/drawing/2014/chart" uri="{C3380CC4-5D6E-409C-BE32-E72D297353CC}">
              <c16:uniqueId val="{00000000-2CCA-482E-8FFD-4BF0BADC06FF}"/>
            </c:ext>
          </c:extLst>
        </c:ser>
        <c:dLbls>
          <c:dLblPos val="outEnd"/>
          <c:showLegendKey val="0"/>
          <c:showVal val="1"/>
          <c:showCatName val="0"/>
          <c:showSerName val="0"/>
          <c:showPercent val="0"/>
          <c:showBubbleSize val="0"/>
        </c:dLbls>
        <c:gapWidth val="182"/>
        <c:axId val="628948752"/>
        <c:axId val="1321521616"/>
      </c:barChart>
      <c:catAx>
        <c:axId val="62894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crossAx val="1321521616"/>
        <c:crosses val="autoZero"/>
        <c:auto val="1"/>
        <c:lblAlgn val="ctr"/>
        <c:lblOffset val="100"/>
        <c:noMultiLvlLbl val="0"/>
      </c:catAx>
      <c:valAx>
        <c:axId val="1321521616"/>
        <c:scaling>
          <c:orientation val="minMax"/>
        </c:scaling>
        <c:delete val="1"/>
        <c:axPos val="b"/>
        <c:numFmt formatCode="_ * #,##0_ ;_ * \-#,##0_ ;_ * &quot;-&quot;??_ ;_ @_ " sourceLinked="1"/>
        <c:majorTickMark val="none"/>
        <c:minorTickMark val="none"/>
        <c:tickLblPos val="nextTo"/>
        <c:crossAx val="62894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[Indian_Retail_Sales_Project 1.xlsx]Order Status!PivotTable4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none"/>
              <a:t>Total Order</a:t>
            </a:r>
            <a:r>
              <a:rPr lang="en-US" sz="1600" b="1" i="1" u="none" baseline="0"/>
              <a:t> Status</a:t>
            </a:r>
            <a:endParaRPr lang="en-US" sz="1600" b="1" i="1" u="non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6FF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dLbl>
          <c:idx val="0"/>
          <c:layout>
            <c:manualLayout>
              <c:x val="3.611111111111110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dLbl>
          <c:idx val="0"/>
          <c:layout>
            <c:manualLayout>
              <c:x val="-8.3333333333333329E-2"/>
              <c:y val="-1.8518518518518538E-2"/>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66FF66"/>
          </a:solidFill>
          <a:ln>
            <a:noFill/>
          </a:ln>
          <a:effectLst/>
        </c:spPr>
        <c:dLbl>
          <c:idx val="0"/>
          <c:layout>
            <c:manualLayout>
              <c:x val="1.1111111111111112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rgbClr val="66FF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dLbl>
          <c:idx val="0"/>
          <c:layout>
            <c:manualLayout>
              <c:x val="-8.3333333333333329E-2"/>
              <c:y val="-1.8518518518518538E-2"/>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dLbl>
          <c:idx val="0"/>
          <c:layout>
            <c:manualLayout>
              <c:x val="3.611111111111110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66FF66"/>
          </a:solidFill>
          <a:ln>
            <a:noFill/>
          </a:ln>
          <a:effectLst/>
        </c:spPr>
        <c:dLbl>
          <c:idx val="0"/>
          <c:layout>
            <c:manualLayout>
              <c:x val="1.1111111111111112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66FF66"/>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FF0000"/>
          </a:solidFill>
          <a:ln w="12700">
            <a:solidFill>
              <a:schemeClr val="bg1"/>
            </a:solidFill>
          </a:ln>
          <a:effectLst/>
        </c:spPr>
        <c:dLbl>
          <c:idx val="0"/>
          <c:layout>
            <c:manualLayout>
              <c:x val="-0.1128717279626222"/>
              <c:y val="-4.7899073888808602E-3"/>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0070C0"/>
          </a:solidFill>
          <a:ln w="12700">
            <a:solidFill>
              <a:schemeClr val="bg1"/>
            </a:solidFill>
          </a:ln>
          <a:effectLst/>
        </c:spPr>
        <c:dLbl>
          <c:idx val="0"/>
          <c:layout>
            <c:manualLayout>
              <c:x val="4.1054196646636447E-2"/>
              <c:y val="5.2154896459027017E-2"/>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00B050"/>
          </a:solidFill>
          <a:ln w="12700">
            <a:solidFill>
              <a:schemeClr val="bg1"/>
            </a:solidFill>
          </a:ln>
          <a:effectLst/>
        </c:spPr>
        <c:dLbl>
          <c:idx val="0"/>
          <c:layout>
            <c:manualLayout>
              <c:x val="1.1111111111111112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'Order Status'!$B$3</c:f>
              <c:strCache>
                <c:ptCount val="1"/>
                <c:pt idx="0">
                  <c:v>Total</c:v>
                </c:pt>
              </c:strCache>
            </c:strRef>
          </c:tx>
          <c:spPr>
            <a:solidFill>
              <a:srgbClr val="66FF66"/>
            </a:solidFill>
            <a:ln w="12700">
              <a:solidFill>
                <a:schemeClr val="bg1"/>
              </a:solidFill>
            </a:ln>
          </c:spPr>
          <c:dPt>
            <c:idx val="0"/>
            <c:bubble3D val="0"/>
            <c:spPr>
              <a:solidFill>
                <a:srgbClr val="FF0000"/>
              </a:solidFill>
              <a:ln w="12700">
                <a:solidFill>
                  <a:schemeClr val="bg1"/>
                </a:solidFill>
              </a:ln>
              <a:effectLst/>
            </c:spPr>
            <c:extLst>
              <c:ext xmlns:c16="http://schemas.microsoft.com/office/drawing/2014/chart" uri="{C3380CC4-5D6E-409C-BE32-E72D297353CC}">
                <c16:uniqueId val="{00000001-4AE0-4D92-8A3F-6DFBEA98EB66}"/>
              </c:ext>
            </c:extLst>
          </c:dPt>
          <c:dPt>
            <c:idx val="1"/>
            <c:bubble3D val="0"/>
            <c:spPr>
              <a:solidFill>
                <a:srgbClr val="0070C0"/>
              </a:solidFill>
              <a:ln w="12700">
                <a:solidFill>
                  <a:schemeClr val="bg1"/>
                </a:solidFill>
              </a:ln>
              <a:effectLst/>
            </c:spPr>
            <c:extLst>
              <c:ext xmlns:c16="http://schemas.microsoft.com/office/drawing/2014/chart" uri="{C3380CC4-5D6E-409C-BE32-E72D297353CC}">
                <c16:uniqueId val="{00000003-4AE0-4D92-8A3F-6DFBEA98EB66}"/>
              </c:ext>
            </c:extLst>
          </c:dPt>
          <c:dPt>
            <c:idx val="2"/>
            <c:bubble3D val="0"/>
            <c:spPr>
              <a:solidFill>
                <a:srgbClr val="00B050"/>
              </a:solidFill>
              <a:ln w="12700">
                <a:solidFill>
                  <a:schemeClr val="bg1"/>
                </a:solidFill>
              </a:ln>
              <a:effectLst/>
            </c:spPr>
            <c:extLst>
              <c:ext xmlns:c16="http://schemas.microsoft.com/office/drawing/2014/chart" uri="{C3380CC4-5D6E-409C-BE32-E72D297353CC}">
                <c16:uniqueId val="{00000005-4AE0-4D92-8A3F-6DFBEA98EB66}"/>
              </c:ext>
            </c:extLst>
          </c:dPt>
          <c:dLbls>
            <c:dLbl>
              <c:idx val="0"/>
              <c:layout>
                <c:manualLayout>
                  <c:x val="-0.1128717279626222"/>
                  <c:y val="-4.7899073888808602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E0-4D92-8A3F-6DFBEA98EB66}"/>
                </c:ext>
              </c:extLst>
            </c:dLbl>
            <c:dLbl>
              <c:idx val="1"/>
              <c:layout>
                <c:manualLayout>
                  <c:x val="4.1054196646636447E-2"/>
                  <c:y val="5.215489645902701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E0-4D92-8A3F-6DFBEA98EB66}"/>
                </c:ext>
              </c:extLst>
            </c:dLbl>
            <c:dLbl>
              <c:idx val="2"/>
              <c:layout>
                <c:manualLayout>
                  <c:x val="1.1111111111111112E-2"/>
                  <c:y val="-4.629629629629629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AE0-4D92-8A3F-6DFBEA98EB66}"/>
                </c:ext>
              </c:extLst>
            </c:dLbl>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Status'!$A$4:$A$7</c:f>
              <c:strCache>
                <c:ptCount val="3"/>
                <c:pt idx="0">
                  <c:v>Cancelled</c:v>
                </c:pt>
                <c:pt idx="1">
                  <c:v>Pending</c:v>
                </c:pt>
                <c:pt idx="2">
                  <c:v>Delivered</c:v>
                </c:pt>
              </c:strCache>
            </c:strRef>
          </c:cat>
          <c:val>
            <c:numRef>
              <c:f>'Order Status'!$B$4:$B$7</c:f>
              <c:numCache>
                <c:formatCode>General</c:formatCode>
                <c:ptCount val="3"/>
                <c:pt idx="0">
                  <c:v>29</c:v>
                </c:pt>
                <c:pt idx="1">
                  <c:v>36</c:v>
                </c:pt>
                <c:pt idx="2">
                  <c:v>435</c:v>
                </c:pt>
              </c:numCache>
            </c:numRef>
          </c:val>
          <c:extLst>
            <c:ext xmlns:c16="http://schemas.microsoft.com/office/drawing/2014/chart" uri="{C3380CC4-5D6E-409C-BE32-E72D297353CC}">
              <c16:uniqueId val="{00000006-4AE0-4D92-8A3F-6DFBEA98EB6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[Indian_Retail_Sales_Project 1.xlsx]Revenue By State!PivotTable1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t>Total Revenue</a:t>
            </a:r>
            <a:r>
              <a:rPr lang="en-US" sz="1600" b="1" i="1" baseline="0"/>
              <a:t> By State</a:t>
            </a:r>
            <a:endParaRPr lang="en-US" sz="16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dLbl>
          <c:idx val="0"/>
          <c:layout>
            <c:manualLayout>
              <c:x val="-4.2670682730923698E-2"/>
              <c:y val="-5.27811611855460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dLbl>
          <c:idx val="0"/>
          <c:layout>
            <c:manualLayout>
              <c:x val="-4.2670682730923698E-2"/>
              <c:y val="-5.27811611855460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dLbl>
          <c:idx val="0"/>
          <c:layout>
            <c:manualLayout>
              <c:x val="-4.2670682730923698E-2"/>
              <c:y val="-5.27811611855460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State'!$B$3</c:f>
              <c:strCache>
                <c:ptCount val="1"/>
                <c:pt idx="0">
                  <c:v>Total</c:v>
                </c:pt>
              </c:strCache>
            </c:strRef>
          </c:tx>
          <c:spPr>
            <a:solidFill>
              <a:schemeClr val="accent5">
                <a:lumMod val="75000"/>
              </a:schemeClr>
            </a:solidFill>
            <a:ln>
              <a:noFill/>
            </a:ln>
            <a:effectLst/>
          </c:spPr>
          <c:invertIfNegative val="0"/>
          <c:dPt>
            <c:idx val="2"/>
            <c:invertIfNegative val="0"/>
            <c:bubble3D val="0"/>
            <c:extLst>
              <c:ext xmlns:c16="http://schemas.microsoft.com/office/drawing/2014/chart" uri="{C3380CC4-5D6E-409C-BE32-E72D297353CC}">
                <c16:uniqueId val="{00000001-65C3-453B-B4D0-CD90875601A1}"/>
              </c:ext>
            </c:extLst>
          </c:dPt>
          <c:dPt>
            <c:idx val="8"/>
            <c:invertIfNegative val="0"/>
            <c:bubble3D val="0"/>
            <c:spPr>
              <a:solidFill>
                <a:schemeClr val="accent5">
                  <a:lumMod val="75000"/>
                </a:schemeClr>
              </a:solidFill>
              <a:ln>
                <a:noFill/>
              </a:ln>
              <a:effectLst/>
            </c:spPr>
            <c:extLst>
              <c:ext xmlns:c16="http://schemas.microsoft.com/office/drawing/2014/chart" uri="{C3380CC4-5D6E-409C-BE32-E72D297353CC}">
                <c16:uniqueId val="{00000000-440E-4A90-8EDC-45E5D3F2FFB1}"/>
              </c:ext>
            </c:extLst>
          </c:dPt>
          <c:dLbls>
            <c:dLbl>
              <c:idx val="8"/>
              <c:layout>
                <c:manualLayout>
                  <c:x val="-4.2670682730923698E-2"/>
                  <c:y val="-5.27811611855460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40E-4A90-8EDC-45E5D3F2FFB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State'!$A$4:$A$13</c:f>
              <c:strCache>
                <c:ptCount val="9"/>
                <c:pt idx="0">
                  <c:v>Tamil Nadu</c:v>
                </c:pt>
                <c:pt idx="1">
                  <c:v>Uttar Pradesh</c:v>
                </c:pt>
                <c:pt idx="2">
                  <c:v>Karnataka</c:v>
                </c:pt>
                <c:pt idx="3">
                  <c:v>Telangana</c:v>
                </c:pt>
                <c:pt idx="4">
                  <c:v>West Bengal</c:v>
                </c:pt>
                <c:pt idx="5">
                  <c:v>Delhi</c:v>
                </c:pt>
                <c:pt idx="6">
                  <c:v>Rajasthan</c:v>
                </c:pt>
                <c:pt idx="7">
                  <c:v>Gujarat</c:v>
                </c:pt>
                <c:pt idx="8">
                  <c:v>Maharashtra</c:v>
                </c:pt>
              </c:strCache>
            </c:strRef>
          </c:cat>
          <c:val>
            <c:numRef>
              <c:f>'Revenue By State'!$B$4:$B$13</c:f>
              <c:numCache>
                <c:formatCode>_ * #,##0_ ;_ * \-#,##0_ ;_ * "-"??_ ;_ @_ </c:formatCode>
                <c:ptCount val="9"/>
                <c:pt idx="0">
                  <c:v>442884.4</c:v>
                </c:pt>
                <c:pt idx="1">
                  <c:v>970458.6</c:v>
                </c:pt>
                <c:pt idx="2">
                  <c:v>1112903.9000000001</c:v>
                </c:pt>
                <c:pt idx="3">
                  <c:v>1120085.7499999998</c:v>
                </c:pt>
                <c:pt idx="4">
                  <c:v>1148361.5000000002</c:v>
                </c:pt>
                <c:pt idx="5">
                  <c:v>1224066.7999999998</c:v>
                </c:pt>
                <c:pt idx="6">
                  <c:v>1553841.8500000003</c:v>
                </c:pt>
                <c:pt idx="7">
                  <c:v>2046506.0500000005</c:v>
                </c:pt>
                <c:pt idx="8">
                  <c:v>3279151.55</c:v>
                </c:pt>
              </c:numCache>
            </c:numRef>
          </c:val>
          <c:extLst>
            <c:ext xmlns:c16="http://schemas.microsoft.com/office/drawing/2014/chart" uri="{C3380CC4-5D6E-409C-BE32-E72D297353CC}">
              <c16:uniqueId val="{00000001-440E-4A90-8EDC-45E5D3F2FFB1}"/>
            </c:ext>
          </c:extLst>
        </c:ser>
        <c:dLbls>
          <c:dLblPos val="outEnd"/>
          <c:showLegendKey val="0"/>
          <c:showVal val="1"/>
          <c:showCatName val="0"/>
          <c:showSerName val="0"/>
          <c:showPercent val="0"/>
          <c:showBubbleSize val="0"/>
        </c:dLbls>
        <c:gapWidth val="182"/>
        <c:axId val="771232336"/>
        <c:axId val="814217808"/>
      </c:barChart>
      <c:catAx>
        <c:axId val="771232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crossAx val="814217808"/>
        <c:crosses val="autoZero"/>
        <c:auto val="1"/>
        <c:lblAlgn val="ctr"/>
        <c:lblOffset val="100"/>
        <c:noMultiLvlLbl val="0"/>
      </c:catAx>
      <c:valAx>
        <c:axId val="814217808"/>
        <c:scaling>
          <c:orientation val="minMax"/>
        </c:scaling>
        <c:delete val="1"/>
        <c:axPos val="b"/>
        <c:numFmt formatCode="_ * #,##0_ ;_ * \-#,##0_ ;_ * &quot;-&quot;??_ ;_ @_ " sourceLinked="1"/>
        <c:majorTickMark val="none"/>
        <c:minorTickMark val="none"/>
        <c:tickLblPos val="nextTo"/>
        <c:crossAx val="77123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[Indian_Retail_Sales_Project 1.xlsx]Average Rating !PivotTable3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t>Average</a:t>
            </a:r>
            <a:r>
              <a:rPr lang="en-US" sz="1600" b="1" i="1" baseline="0"/>
              <a:t> Rating By Product</a:t>
            </a:r>
            <a:endParaRPr lang="en-US" sz="16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FF00"/>
            </a:solidFill>
            <a:round/>
          </a:ln>
          <a:effectLst/>
        </c:spPr>
        <c:marker>
          <c:symbol val="circle"/>
          <c:size val="5"/>
          <c:spPr>
            <a:solidFill>
              <a:srgbClr val="00B050"/>
            </a:solidFill>
            <a:ln w="9525">
              <a:solidFill>
                <a:srgbClr val="00FF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FF00"/>
            </a:solidFill>
            <a:round/>
          </a:ln>
          <a:effectLst/>
        </c:spPr>
        <c:marker>
          <c:symbol val="circle"/>
          <c:size val="5"/>
          <c:spPr>
            <a:solidFill>
              <a:srgbClr val="00B050"/>
            </a:solidFill>
            <a:ln w="9525">
              <a:solidFill>
                <a:srgbClr val="00FF00"/>
              </a:solidFill>
            </a:ln>
            <a:effectLst/>
          </c:spPr>
        </c:marker>
      </c:pivotFmt>
      <c:pivotFmt>
        <c:idx val="2"/>
        <c:spPr>
          <a:solidFill>
            <a:schemeClr val="accent1"/>
          </a:solidFill>
          <a:ln w="28575" cap="rnd">
            <a:solidFill>
              <a:srgbClr val="00FF00"/>
            </a:solidFill>
            <a:round/>
          </a:ln>
          <a:effectLst/>
        </c:spPr>
        <c:marker>
          <c:symbol val="circle"/>
          <c:size val="5"/>
          <c:spPr>
            <a:solidFill>
              <a:srgbClr val="00B050"/>
            </a:solidFill>
            <a:ln w="9525">
              <a:solidFill>
                <a:srgbClr val="00FF00"/>
              </a:solidFill>
            </a:ln>
            <a:effectLst/>
          </c:spPr>
        </c:marker>
      </c:pivotFmt>
      <c:pivotFmt>
        <c:idx val="3"/>
        <c:spPr>
          <a:solidFill>
            <a:schemeClr val="accent1"/>
          </a:solidFill>
          <a:ln w="28575" cap="rnd">
            <a:solidFill>
              <a:srgbClr val="00FF00"/>
            </a:solidFill>
            <a:round/>
          </a:ln>
          <a:effectLst/>
        </c:spPr>
        <c:marker>
          <c:symbol val="circle"/>
          <c:size val="5"/>
          <c:spPr>
            <a:solidFill>
              <a:srgbClr val="00B050"/>
            </a:solidFill>
            <a:ln w="9525">
              <a:solidFill>
                <a:srgbClr val="00FF00"/>
              </a:solidFill>
            </a:ln>
            <a:effectLst/>
          </c:spPr>
        </c:marker>
      </c:pivotFmt>
      <c:pivotFmt>
        <c:idx val="4"/>
        <c:spPr>
          <a:solidFill>
            <a:schemeClr val="accent1"/>
          </a:solidFill>
          <a:ln w="28575" cap="rnd">
            <a:solidFill>
              <a:srgbClr val="00FF00"/>
            </a:solidFill>
            <a:round/>
          </a:ln>
          <a:effectLst/>
        </c:spPr>
        <c:marker>
          <c:symbol val="circle"/>
          <c:size val="5"/>
          <c:spPr>
            <a:solidFill>
              <a:srgbClr val="00B050"/>
            </a:solidFill>
            <a:ln w="9525">
              <a:solidFill>
                <a:srgbClr val="00FF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FF00"/>
            </a:solidFill>
            <a:round/>
          </a:ln>
          <a:effectLst/>
        </c:spPr>
        <c:marker>
          <c:symbol val="circle"/>
          <c:size val="5"/>
          <c:spPr>
            <a:solidFill>
              <a:srgbClr val="00B050"/>
            </a:solidFill>
            <a:ln w="9525">
              <a:solidFill>
                <a:srgbClr val="00FF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'Average Rating '!$B$3</c:f>
              <c:strCache>
                <c:ptCount val="1"/>
                <c:pt idx="0">
                  <c:v>Total</c:v>
                </c:pt>
              </c:strCache>
            </c:strRef>
          </c:tx>
          <c:spPr>
            <a:ln w="28575" cap="rnd">
              <a:solidFill>
                <a:srgbClr val="00FF00"/>
              </a:solidFill>
              <a:round/>
            </a:ln>
            <a:effectLst/>
          </c:spPr>
          <c:marker>
            <c:symbol val="circle"/>
            <c:size val="5"/>
            <c:spPr>
              <a:solidFill>
                <a:srgbClr val="00B050"/>
              </a:solidFill>
              <a:ln w="9525">
                <a:solidFill>
                  <a:srgbClr val="00FF00"/>
                </a:solidFill>
              </a:ln>
              <a:effectLst/>
            </c:spPr>
          </c:marker>
          <c:cat>
            <c:strRef>
              <c:f>'Average Rating '!$A$4:$A$19</c:f>
              <c:strCache>
                <c:ptCount val="15"/>
                <c:pt idx="0">
                  <c:v>Face Cream</c:v>
                </c:pt>
                <c:pt idx="1">
                  <c:v>Headphones</c:v>
                </c:pt>
                <c:pt idx="2">
                  <c:v>Jeans</c:v>
                </c:pt>
                <c:pt idx="3">
                  <c:v>Kurta</c:v>
                </c:pt>
                <c:pt idx="4">
                  <c:v>Laptop</c:v>
                </c:pt>
                <c:pt idx="5">
                  <c:v>Notebook</c:v>
                </c:pt>
                <c:pt idx="6">
                  <c:v>Novel</c:v>
                </c:pt>
                <c:pt idx="7">
                  <c:v>Pen Set</c:v>
                </c:pt>
                <c:pt idx="8">
                  <c:v>Sandals</c:v>
                </c:pt>
                <c:pt idx="9">
                  <c:v>Shampoo</c:v>
                </c:pt>
                <c:pt idx="10">
                  <c:v>Smartphone</c:v>
                </c:pt>
                <c:pt idx="11">
                  <c:v>Smartwatch</c:v>
                </c:pt>
                <c:pt idx="12">
                  <c:v>Sneakers</c:v>
                </c:pt>
                <c:pt idx="13">
                  <c:v>Tablet</c:v>
                </c:pt>
                <c:pt idx="14">
                  <c:v>T-Shirt</c:v>
                </c:pt>
              </c:strCache>
            </c:strRef>
          </c:cat>
          <c:val>
            <c:numRef>
              <c:f>'Average Rating '!$B$4:$B$19</c:f>
              <c:numCache>
                <c:formatCode>General</c:formatCode>
                <c:ptCount val="15"/>
                <c:pt idx="0">
                  <c:v>3.2380952380952381</c:v>
                </c:pt>
                <c:pt idx="1">
                  <c:v>2.9310344827586206</c:v>
                </c:pt>
                <c:pt idx="2">
                  <c:v>2.6129032258064515</c:v>
                </c:pt>
                <c:pt idx="3">
                  <c:v>2.8076923076923075</c:v>
                </c:pt>
                <c:pt idx="4">
                  <c:v>2.7692307692307692</c:v>
                </c:pt>
                <c:pt idx="5">
                  <c:v>3.1</c:v>
                </c:pt>
                <c:pt idx="6">
                  <c:v>3.2352941176470589</c:v>
                </c:pt>
                <c:pt idx="7">
                  <c:v>3.3333333333333335</c:v>
                </c:pt>
                <c:pt idx="8">
                  <c:v>2.652173913043478</c:v>
                </c:pt>
                <c:pt idx="9">
                  <c:v>3</c:v>
                </c:pt>
                <c:pt idx="10">
                  <c:v>3.375</c:v>
                </c:pt>
                <c:pt idx="11">
                  <c:v>2.925925925925926</c:v>
                </c:pt>
                <c:pt idx="12">
                  <c:v>2.9666666666666668</c:v>
                </c:pt>
                <c:pt idx="13">
                  <c:v>3</c:v>
                </c:pt>
                <c:pt idx="14">
                  <c:v>2.5217391304347827</c:v>
                </c:pt>
              </c:numCache>
            </c:numRef>
          </c:val>
          <c:smooth val="0"/>
          <c:extLst>
            <c:ext xmlns:c16="http://schemas.microsoft.com/office/drawing/2014/chart" uri="{C3380CC4-5D6E-409C-BE32-E72D297353CC}">
              <c16:uniqueId val="{00000000-0CA1-4403-BFD8-F159B82246E3}"/>
            </c:ext>
          </c:extLst>
        </c:ser>
        <c:dLbls>
          <c:showLegendKey val="0"/>
          <c:showVal val="0"/>
          <c:showCatName val="0"/>
          <c:showSerName val="0"/>
          <c:showPercent val="0"/>
          <c:showBubbleSize val="0"/>
        </c:dLbls>
        <c:marker val="1"/>
        <c:smooth val="0"/>
        <c:axId val="771238832"/>
        <c:axId val="814217328"/>
      </c:lineChart>
      <c:catAx>
        <c:axId val="77123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814217328"/>
        <c:crosses val="autoZero"/>
        <c:auto val="1"/>
        <c:lblAlgn val="ctr"/>
        <c:lblOffset val="100"/>
        <c:noMultiLvlLbl val="0"/>
      </c:catAx>
      <c:valAx>
        <c:axId val="81421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123883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[Indian_Retail_Sales_Project 1.xlsx]Cities As per Revenue!PivotTable5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t>Top</a:t>
            </a:r>
            <a:r>
              <a:rPr lang="en-US" sz="1600" b="1" i="1" baseline="0"/>
              <a:t> 5 Cities As per Revenue</a:t>
            </a:r>
            <a:endParaRPr lang="en-US" sz="1600" b="1" i="1"/>
          </a:p>
        </c:rich>
      </c:tx>
      <c:overlay val="0"/>
      <c:spPr>
        <a:noFill/>
        <a:ln>
          <a:noFill/>
        </a:ln>
        <a:effectLst/>
      </c:spPr>
    </c:title>
    <c:autoTitleDeleted val="0"/>
    <c:pivotFmts>
      <c:pivotFmt>
        <c:idx val="0"/>
        <c:spPr>
          <a:gradFill flip="none" rotWithShape="1">
            <a:gsLst>
              <a:gs pos="0">
                <a:srgbClr val="00FFFF">
                  <a:shade val="30000"/>
                  <a:satMod val="115000"/>
                </a:srgbClr>
              </a:gs>
              <a:gs pos="50000">
                <a:srgbClr val="00FFFF">
                  <a:shade val="67500"/>
                  <a:satMod val="115000"/>
                </a:srgbClr>
              </a:gs>
              <a:gs pos="100000">
                <a:srgbClr val="00FFFF">
                  <a:shade val="100000"/>
                  <a:satMod val="115000"/>
                </a:srgb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44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gradFill flip="none" rotWithShape="1">
            <a:gsLst>
              <a:gs pos="0">
                <a:srgbClr val="00FFFF">
                  <a:shade val="30000"/>
                  <a:satMod val="115000"/>
                </a:srgbClr>
              </a:gs>
              <a:gs pos="50000">
                <a:srgbClr val="00FFFF">
                  <a:shade val="67500"/>
                  <a:satMod val="115000"/>
                </a:srgbClr>
              </a:gs>
              <a:gs pos="100000">
                <a:srgbClr val="00FFFF">
                  <a:shade val="100000"/>
                  <a:satMod val="115000"/>
                </a:srgb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44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gradFill flip="none" rotWithShape="1">
            <a:gsLst>
              <a:gs pos="0">
                <a:srgbClr val="00FFFF">
                  <a:shade val="30000"/>
                  <a:satMod val="115000"/>
                </a:srgbClr>
              </a:gs>
              <a:gs pos="50000">
                <a:srgbClr val="00FFFF">
                  <a:shade val="67500"/>
                  <a:satMod val="115000"/>
                </a:srgbClr>
              </a:gs>
              <a:gs pos="100000">
                <a:srgbClr val="00FFFF">
                  <a:shade val="100000"/>
                  <a:satMod val="115000"/>
                </a:srgb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4400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'Cities As per Revenue'!$B$3</c:f>
              <c:strCache>
                <c:ptCount val="1"/>
                <c:pt idx="0">
                  <c:v>Total</c:v>
                </c:pt>
              </c:strCache>
            </c:strRef>
          </c:tx>
          <c:spPr>
            <a:gradFill flip="none" rotWithShape="1">
              <a:gsLst>
                <a:gs pos="0">
                  <a:srgbClr val="00FFFF">
                    <a:shade val="30000"/>
                    <a:satMod val="115000"/>
                  </a:srgbClr>
                </a:gs>
                <a:gs pos="50000">
                  <a:srgbClr val="00FFFF">
                    <a:shade val="67500"/>
                    <a:satMod val="115000"/>
                  </a:srgbClr>
                </a:gs>
                <a:gs pos="100000">
                  <a:srgbClr val="00FFFF">
                    <a:shade val="100000"/>
                    <a:satMod val="115000"/>
                  </a:srgbClr>
                </a:gs>
              </a:gsLst>
              <a:lin ang="8100000" scaled="1"/>
              <a:tileRect/>
            </a:gradFill>
            <a:ln>
              <a:noFill/>
            </a:ln>
            <a:effectLst/>
            <a:sp3d/>
          </c:spPr>
          <c:invertIfNegative val="0"/>
          <c:dLbls>
            <c:spPr>
              <a:noFill/>
              <a:ln>
                <a:noFill/>
              </a:ln>
              <a:effectLst/>
            </c:spPr>
            <c:txPr>
              <a:bodyPr rot="0" spcFirstLastPara="1" vertOverflow="ellipsis" vert="horz" wrap="square" lIns="38100" tIns="14400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'Cities As per Revenue'!$A$4:$A$9</c:f>
              <c:strCache>
                <c:ptCount val="5"/>
                <c:pt idx="0">
                  <c:v>Jaipur</c:v>
                </c:pt>
                <c:pt idx="1">
                  <c:v>Delhi</c:v>
                </c:pt>
                <c:pt idx="2">
                  <c:v>Kolkata</c:v>
                </c:pt>
                <c:pt idx="3">
                  <c:v>Mumbai</c:v>
                </c:pt>
                <c:pt idx="4">
                  <c:v>Surat</c:v>
                </c:pt>
              </c:strCache>
            </c:strRef>
          </c:cat>
          <c:val>
            <c:numRef>
              <c:f>'Cities As per Revenue'!$B$4:$B$9</c:f>
              <c:numCache>
                <c:formatCode>_ * #,##0_ ;_ * \-#,##0_ ;_ * "-"??_ ;_ @_ </c:formatCode>
                <c:ptCount val="5"/>
                <c:pt idx="0">
                  <c:v>1553841.8500000003</c:v>
                </c:pt>
                <c:pt idx="1">
                  <c:v>1224066.7999999998</c:v>
                </c:pt>
                <c:pt idx="2">
                  <c:v>1148361.5000000002</c:v>
                </c:pt>
                <c:pt idx="3">
                  <c:v>1147994.3999999999</c:v>
                </c:pt>
                <c:pt idx="4">
                  <c:v>1125926.7999999998</c:v>
                </c:pt>
              </c:numCache>
            </c:numRef>
          </c:val>
          <c:extLst>
            <c:ext xmlns:c16="http://schemas.microsoft.com/office/drawing/2014/chart" uri="{C3380CC4-5D6E-409C-BE32-E72D297353CC}">
              <c16:uniqueId val="{00000000-7F9E-41A9-BFBD-91448EBA58E5}"/>
            </c:ext>
          </c:extLst>
        </c:ser>
        <c:dLbls>
          <c:showLegendKey val="0"/>
          <c:showVal val="1"/>
          <c:showCatName val="0"/>
          <c:showSerName val="0"/>
          <c:showPercent val="0"/>
          <c:showBubbleSize val="0"/>
        </c:dLbls>
        <c:gapWidth val="150"/>
        <c:shape val="box"/>
        <c:axId val="1624027760"/>
        <c:axId val="814178448"/>
        <c:axId val="0"/>
      </c:bar3DChart>
      <c:catAx>
        <c:axId val="1624027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crossAx val="814178448"/>
        <c:crosses val="autoZero"/>
        <c:auto val="1"/>
        <c:lblAlgn val="ctr"/>
        <c:lblOffset val="100"/>
        <c:noMultiLvlLbl val="0"/>
      </c:catAx>
      <c:valAx>
        <c:axId val="814178448"/>
        <c:scaling>
          <c:orientation val="minMax"/>
        </c:scaling>
        <c:delete val="1"/>
        <c:axPos val="l"/>
        <c:numFmt formatCode="_ * #,##0_ ;_ * \-#,##0_ ;_ * &quot;-&quot;??_ ;_ @_ " sourceLinked="1"/>
        <c:majorTickMark val="none"/>
        <c:minorTickMark val="none"/>
        <c:tickLblPos val="nextTo"/>
        <c:crossAx val="162402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[Indian_Retail_Sales_Project 1.xlsx]revenue by payment method!PivotTable6</c:name>
    <c:fmtId val="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400" i="1"/>
              <a:t>Total revenue by payment method</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5555555555555552E-2"/>
              <c:y val="6.94444444444444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5555555555555552E-2"/>
              <c:y val="6.94444444444444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8254086443648412"/>
              <c:y val="-7.6868227896698643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9993439054475004"/>
              <c:y val="-1.186319771404594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7831986183720941"/>
              <c:y val="8.69967832363363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5130170095278375"/>
              <c:y val="9.4905581712366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1861747007047273E-2"/>
              <c:y val="-0.110723178664428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'revenue by payment method'!$B$3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62B-482D-BE96-9D200AB3A7A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62B-482D-BE96-9D200AB3A7A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62B-482D-BE96-9D200AB3A7A1}"/>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62B-482D-BE96-9D200AB3A7A1}"/>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062B-482D-BE96-9D200AB3A7A1}"/>
              </c:ext>
            </c:extLst>
          </c:dPt>
          <c:dLbls>
            <c:dLbl>
              <c:idx val="0"/>
              <c:layout>
                <c:manualLayout>
                  <c:x val="0.18254086443648412"/>
                  <c:y val="-7.6868227896698643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062B-482D-BE96-9D200AB3A7A1}"/>
                </c:ext>
              </c:extLst>
            </c:dLbl>
            <c:dLbl>
              <c:idx val="1"/>
              <c:layout>
                <c:manualLayout>
                  <c:x val="0.19993439054475004"/>
                  <c:y val="-1.186319771404594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62B-482D-BE96-9D200AB3A7A1}"/>
                </c:ext>
              </c:extLst>
            </c:dLbl>
            <c:dLbl>
              <c:idx val="2"/>
              <c:layout>
                <c:manualLayout>
                  <c:x val="0.17831986183720941"/>
                  <c:y val="8.69967832363363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62B-482D-BE96-9D200AB3A7A1}"/>
                </c:ext>
              </c:extLst>
            </c:dLbl>
            <c:dLbl>
              <c:idx val="3"/>
              <c:layout>
                <c:manualLayout>
                  <c:x val="-0.15130170095278375"/>
                  <c:y val="9.49055817123669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62B-482D-BE96-9D200AB3A7A1}"/>
                </c:ext>
              </c:extLst>
            </c:dLbl>
            <c:dLbl>
              <c:idx val="4"/>
              <c:layout>
                <c:manualLayout>
                  <c:x val="-9.1861747007047273E-2"/>
                  <c:y val="-0.110723178664428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62B-482D-BE96-9D200AB3A7A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7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payment method'!$A$4:$A$9</c:f>
              <c:strCache>
                <c:ptCount val="5"/>
                <c:pt idx="0">
                  <c:v>Cash On Delivery</c:v>
                </c:pt>
                <c:pt idx="1">
                  <c:v>Credit Card</c:v>
                </c:pt>
                <c:pt idx="2">
                  <c:v>Debit Card</c:v>
                </c:pt>
                <c:pt idx="3">
                  <c:v>Net Banking</c:v>
                </c:pt>
                <c:pt idx="4">
                  <c:v>Upi</c:v>
                </c:pt>
              </c:strCache>
            </c:strRef>
          </c:cat>
          <c:val>
            <c:numRef>
              <c:f>'revenue by payment method'!$B$4:$B$9</c:f>
              <c:numCache>
                <c:formatCode>_ * #,##0_ ;_ * \-#,##0_ ;_ * "-"??_ ;_ @_ </c:formatCode>
                <c:ptCount val="5"/>
                <c:pt idx="0">
                  <c:v>2080893.8000000003</c:v>
                </c:pt>
                <c:pt idx="1">
                  <c:v>2330528.9500000002</c:v>
                </c:pt>
                <c:pt idx="2">
                  <c:v>2316671.5</c:v>
                </c:pt>
                <c:pt idx="3">
                  <c:v>3126825.0000000005</c:v>
                </c:pt>
                <c:pt idx="4">
                  <c:v>3043341.1499999994</c:v>
                </c:pt>
              </c:numCache>
            </c:numRef>
          </c:val>
          <c:extLst>
            <c:ext xmlns:c16="http://schemas.microsoft.com/office/drawing/2014/chart" uri="{C3380CC4-5D6E-409C-BE32-E72D297353CC}">
              <c16:uniqueId val="{0000000A-062B-482D-BE96-9D200AB3A7A1}"/>
            </c:ext>
          </c:extLst>
        </c:ser>
        <c:dLbls>
          <c:showLegendKey val="0"/>
          <c:showVal val="0"/>
          <c:showCatName val="0"/>
          <c:showSerName val="0"/>
          <c:showPercent val="1"/>
          <c:showBubbleSize val="0"/>
          <c:showLeaderLines val="1"/>
        </c:dLbls>
        <c:firstSliceAng val="0"/>
        <c:holeSize val="50"/>
      </c:doughnutChart>
      <c:spPr>
        <a:noFill/>
        <a:ln>
          <a:noFill/>
        </a:ln>
        <a:effectLst/>
        <a:sp3d/>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[Indian_Retail_Sales_Project 1.xlsx]Monthly Revenue By Category!PivotTable4</c:name>
    <c:fmtId val="36"/>
  </c:pivotSource>
  <c:chart>
    <c:title>
      <c:tx>
        <c:rich>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a:t>Total Monthly Revenue By Category</a:t>
            </a:r>
          </a:p>
        </c:rich>
      </c:tx>
      <c:overlay val="1"/>
      <c:spPr>
        <a:noFill/>
        <a:ln>
          <a:noFill/>
        </a:ln>
        <a:effectLst/>
      </c:spPr>
      <c:txPr>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layout>
            <c:manualLayout>
              <c:x val="0.11944444444444445"/>
              <c:y val="-0.34722222222222227"/>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4.7222222222222221E-2"/>
              <c:y val="-0.19444444444444445"/>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05"/>
              <c:y val="-0.11574074074074074"/>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4444444444444446E-2"/>
              <c:y val="-0.10185185185185185"/>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2222222222222119E-2"/>
              <c:y val="-9.259259259259258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3888888888888888E-2"/>
              <c:y val="-7.87037037037037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rgbClr val="00FF00"/>
            </a:solidFill>
            <a:round/>
          </a:ln>
          <a:effectLst>
            <a:glow rad="101600">
              <a:schemeClr val="accent1">
                <a:alpha val="40000"/>
              </a:schemeClr>
            </a:glow>
          </a:effectLst>
        </c:spPr>
        <c:marker>
          <c:symbol val="circle"/>
          <c:size val="6"/>
          <c:spPr>
            <a:gradFill>
              <a:gsLst>
                <a:gs pos="0">
                  <a:schemeClr val="accent4">
                    <a:shade val="51000"/>
                  </a:schemeClr>
                </a:gs>
                <a:gs pos="80000">
                  <a:schemeClr val="accent4">
                    <a:shade val="93000"/>
                  </a:schemeClr>
                </a:gs>
                <a:gs pos="100000">
                  <a:schemeClr val="accent4">
                    <a:shade val="94000"/>
                  </a:schemeClr>
                </a:gs>
              </a:gsLst>
              <a:lin ang="16200000" scaled="0"/>
              <a:tileRect/>
            </a:gradFill>
            <a:ln w="9525">
              <a:solidFill>
                <a:schemeClr val="accent4"/>
              </a:solidFill>
              <a:round/>
            </a:ln>
            <a:effectLst>
              <a:glow rad="101600">
                <a:schemeClr val="accent1">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88670166229221"/>
          <c:y val="0.2061574074074074"/>
          <c:w val="0.81533552055992997"/>
          <c:h val="0.4889421114027413"/>
        </c:manualLayout>
      </c:layout>
      <c:lineChart>
        <c:grouping val="standard"/>
        <c:varyColors val="0"/>
        <c:ser>
          <c:idx val="0"/>
          <c:order val="0"/>
          <c:tx>
            <c:strRef>
              <c:f>'Monthly Revenue By Category'!$B$3</c:f>
              <c:strCache>
                <c:ptCount val="1"/>
                <c:pt idx="0">
                  <c:v>Total</c:v>
                </c:pt>
              </c:strCache>
            </c:strRef>
          </c:tx>
          <c:spPr>
            <a:ln w="34925" cap="rnd">
              <a:solidFill>
                <a:srgbClr val="00FF00"/>
              </a:solidFill>
              <a:round/>
            </a:ln>
            <a:effectLst>
              <a:glow rad="101600">
                <a:schemeClr val="accent1">
                  <a:alpha val="40000"/>
                </a:schemeClr>
              </a:glow>
            </a:effectLst>
          </c:spPr>
          <c:marker>
            <c:symbol val="circle"/>
            <c:size val="6"/>
            <c:spPr>
              <a:gradFill>
                <a:gsLst>
                  <a:gs pos="0">
                    <a:schemeClr val="accent4">
                      <a:shade val="51000"/>
                    </a:schemeClr>
                  </a:gs>
                  <a:gs pos="80000">
                    <a:schemeClr val="accent4">
                      <a:shade val="93000"/>
                    </a:schemeClr>
                  </a:gs>
                  <a:gs pos="100000">
                    <a:schemeClr val="accent4">
                      <a:shade val="94000"/>
                    </a:schemeClr>
                  </a:gs>
                </a:gsLst>
                <a:lin ang="16200000" scaled="0"/>
                <a:tileRect/>
              </a:gradFill>
              <a:ln w="9525">
                <a:solidFill>
                  <a:schemeClr val="accent4"/>
                </a:solidFill>
                <a:round/>
              </a:ln>
              <a:effectLst>
                <a:glow rad="101600">
                  <a:schemeClr val="accent1">
                    <a:alpha val="40000"/>
                  </a:schemeClr>
                </a:glow>
              </a:effectLst>
            </c:spPr>
          </c:marker>
          <c:trendline>
            <c:spPr>
              <a:ln w="19050" cap="rnd">
                <a:solidFill>
                  <a:srgbClr val="66FF66"/>
                </a:solidFill>
              </a:ln>
              <a:effectLst>
                <a:glow rad="152400">
                  <a:schemeClr val="accent1">
                    <a:alpha val="40000"/>
                  </a:schemeClr>
                </a:glow>
              </a:effectLst>
            </c:spPr>
            <c:trendlineType val="linear"/>
            <c:dispRSqr val="0"/>
            <c:dispEq val="0"/>
          </c:trendline>
          <c:cat>
            <c:strRef>
              <c:f>'Monthly Revenue By Category'!$A$4:$A$19</c:f>
              <c:strCache>
                <c:ptCount val="15"/>
                <c:pt idx="0">
                  <c:v>Face Cream</c:v>
                </c:pt>
                <c:pt idx="1">
                  <c:v>Headphones</c:v>
                </c:pt>
                <c:pt idx="2">
                  <c:v>Jeans</c:v>
                </c:pt>
                <c:pt idx="3">
                  <c:v>Kurta</c:v>
                </c:pt>
                <c:pt idx="4">
                  <c:v>Laptop</c:v>
                </c:pt>
                <c:pt idx="5">
                  <c:v>Notebook</c:v>
                </c:pt>
                <c:pt idx="6">
                  <c:v>Novel</c:v>
                </c:pt>
                <c:pt idx="7">
                  <c:v>Pen Set</c:v>
                </c:pt>
                <c:pt idx="8">
                  <c:v>Sandals</c:v>
                </c:pt>
                <c:pt idx="9">
                  <c:v>Shampoo</c:v>
                </c:pt>
                <c:pt idx="10">
                  <c:v>Smartphone</c:v>
                </c:pt>
                <c:pt idx="11">
                  <c:v>Smartwatch</c:v>
                </c:pt>
                <c:pt idx="12">
                  <c:v>Sneakers</c:v>
                </c:pt>
                <c:pt idx="13">
                  <c:v>Tablet</c:v>
                </c:pt>
                <c:pt idx="14">
                  <c:v>T-Shirt</c:v>
                </c:pt>
              </c:strCache>
            </c:strRef>
          </c:cat>
          <c:val>
            <c:numRef>
              <c:f>'Monthly Revenue By Category'!$B$4:$B$19</c:f>
              <c:numCache>
                <c:formatCode>_ * #,##0_ ;_ * \-#,##0_ ;_ * "-"??_ ;_ @_ </c:formatCode>
                <c:ptCount val="15"/>
                <c:pt idx="0">
                  <c:v>57612.7</c:v>
                </c:pt>
                <c:pt idx="1">
                  <c:v>347855.7</c:v>
                </c:pt>
                <c:pt idx="2">
                  <c:v>193754.75</c:v>
                </c:pt>
                <c:pt idx="3">
                  <c:v>109049.85</c:v>
                </c:pt>
                <c:pt idx="4">
                  <c:v>5429919.3999999994</c:v>
                </c:pt>
                <c:pt idx="5">
                  <c:v>10488.65</c:v>
                </c:pt>
                <c:pt idx="6">
                  <c:v>56251.950000000004</c:v>
                </c:pt>
                <c:pt idx="7">
                  <c:v>16060.55</c:v>
                </c:pt>
                <c:pt idx="8">
                  <c:v>77398.899999999994</c:v>
                </c:pt>
                <c:pt idx="9">
                  <c:v>40395.75</c:v>
                </c:pt>
                <c:pt idx="10">
                  <c:v>2974000.75</c:v>
                </c:pt>
                <c:pt idx="11">
                  <c:v>915684.2</c:v>
                </c:pt>
                <c:pt idx="12">
                  <c:v>340131.39999999997</c:v>
                </c:pt>
                <c:pt idx="13">
                  <c:v>2239517.9</c:v>
                </c:pt>
                <c:pt idx="14">
                  <c:v>90137.95</c:v>
                </c:pt>
              </c:numCache>
            </c:numRef>
          </c:val>
          <c:smooth val="0"/>
          <c:extLst>
            <c:ext xmlns:c16="http://schemas.microsoft.com/office/drawing/2014/chart" uri="{C3380CC4-5D6E-409C-BE32-E72D297353CC}">
              <c16:uniqueId val="{00000001-BC5E-433E-B62B-3ACAFD055F49}"/>
            </c:ext>
          </c:extLst>
        </c:ser>
        <c:dLbls>
          <c:showLegendKey val="0"/>
          <c:showVal val="0"/>
          <c:showCatName val="0"/>
          <c:showSerName val="0"/>
          <c:showPercent val="0"/>
          <c:showBubbleSize val="0"/>
        </c:dLbls>
        <c:marker val="1"/>
        <c:smooth val="0"/>
        <c:axId val="780393136"/>
        <c:axId val="1683637680"/>
      </c:lineChart>
      <c:catAx>
        <c:axId val="7803931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3637680"/>
        <c:crosses val="autoZero"/>
        <c:auto val="1"/>
        <c:lblAlgn val="ctr"/>
        <c:lblOffset val="100"/>
        <c:noMultiLvlLbl val="0"/>
      </c:catAx>
      <c:valAx>
        <c:axId val="1683637680"/>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03931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[Indian_Retail_Sales_Project 1.xlsx]Revenue By Sales Person!PivotTable2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Total Revenue</a:t>
            </a:r>
            <a:r>
              <a:rPr lang="en-US" b="1" i="1" baseline="0"/>
              <a:t> By Sales Person</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
              <c:y val="-3.06614104248795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666666666666667"/>
              <c:y val="-4.38020148926850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5555555555555558E-3"/>
              <c:y val="-0.113885238720981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7777777777777807E-2"/>
              <c:y val="-9.19842312746386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555555555555556"/>
              <c:y val="3.5041611914147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1111111111111012E-2"/>
              <c:y val="5.69426193604905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666666666666667"/>
              <c:y val="-4.38020148926850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
              <c:y val="-3.06614104248795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1111111111111012E-2"/>
              <c:y val="5.69426193604905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555555555555556"/>
              <c:y val="3.5041611914147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7.7777777777777807E-2"/>
              <c:y val="-9.19842312746386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5.5555555555555558E-3"/>
              <c:y val="-0.113885238720981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1666666666666667"/>
              <c:y val="-4.38020148926850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
              <c:y val="-3.06614104248795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6.1111111111111012E-2"/>
              <c:y val="5.69426193604905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0555555555555556"/>
              <c:y val="3.5041611914147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7.7777777777777807E-2"/>
              <c:y val="-9.19842312746386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5.5555555555555558E-3"/>
              <c:y val="-0.113885238720981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'Revenue By Sales Person'!$B$3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B9-40E3-9D60-3C728F7C74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B9-40E3-9D60-3C728F7C74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B9-40E3-9D60-3C728F7C74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B9-40E3-9D60-3C728F7C74C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B9-40E3-9D60-3C728F7C74C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8B9-40E3-9D60-3C728F7C74C3}"/>
              </c:ext>
            </c:extLst>
          </c:dPt>
          <c:dLbls>
            <c:dLbl>
              <c:idx val="0"/>
              <c:layout>
                <c:manualLayout>
                  <c:x val="0.11666666666666667"/>
                  <c:y val="-4.38020148926850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B9-40E3-9D60-3C728F7C74C3}"/>
                </c:ext>
              </c:extLst>
            </c:dLbl>
            <c:dLbl>
              <c:idx val="1"/>
              <c:layout>
                <c:manualLayout>
                  <c:x val="0.1"/>
                  <c:y val="-3.06614104248795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B9-40E3-9D60-3C728F7C74C3}"/>
                </c:ext>
              </c:extLst>
            </c:dLbl>
            <c:dLbl>
              <c:idx val="2"/>
              <c:layout>
                <c:manualLayout>
                  <c:x val="6.1111111111111012E-2"/>
                  <c:y val="5.69426193604905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B9-40E3-9D60-3C728F7C74C3}"/>
                </c:ext>
              </c:extLst>
            </c:dLbl>
            <c:dLbl>
              <c:idx val="3"/>
              <c:layout>
                <c:manualLayout>
                  <c:x val="-0.10555555555555556"/>
                  <c:y val="3.5041611914147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8B9-40E3-9D60-3C728F7C74C3}"/>
                </c:ext>
              </c:extLst>
            </c:dLbl>
            <c:dLbl>
              <c:idx val="4"/>
              <c:layout>
                <c:manualLayout>
                  <c:x val="-7.7777777777777807E-2"/>
                  <c:y val="-9.19842312746386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8B9-40E3-9D60-3C728F7C74C3}"/>
                </c:ext>
              </c:extLst>
            </c:dLbl>
            <c:dLbl>
              <c:idx val="5"/>
              <c:layout>
                <c:manualLayout>
                  <c:x val="-5.5555555555555558E-3"/>
                  <c:y val="-0.113885238720981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8B9-40E3-9D60-3C728F7C74C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Sales Person'!$A$4:$A$10</c:f>
              <c:strCache>
                <c:ptCount val="6"/>
                <c:pt idx="0">
                  <c:v>Amit</c:v>
                </c:pt>
                <c:pt idx="1">
                  <c:v>Kavita</c:v>
                </c:pt>
                <c:pt idx="2">
                  <c:v>Neha</c:v>
                </c:pt>
                <c:pt idx="3">
                  <c:v>Rohit</c:v>
                </c:pt>
                <c:pt idx="4">
                  <c:v>Suresh</c:v>
                </c:pt>
                <c:pt idx="5">
                  <c:v>Umknowm</c:v>
                </c:pt>
              </c:strCache>
            </c:strRef>
          </c:cat>
          <c:val>
            <c:numRef>
              <c:f>'Revenue By Sales Person'!$B$4:$B$10</c:f>
              <c:numCache>
                <c:formatCode>_ * #,##0_ ;_ * \-#,##0_ ;_ * "-"??_ ;_ @_ </c:formatCode>
                <c:ptCount val="6"/>
                <c:pt idx="0">
                  <c:v>1433780.5999999999</c:v>
                </c:pt>
                <c:pt idx="1">
                  <c:v>2277321.0500000003</c:v>
                </c:pt>
                <c:pt idx="2">
                  <c:v>2214665.5000000009</c:v>
                </c:pt>
                <c:pt idx="3">
                  <c:v>3939205.35</c:v>
                </c:pt>
                <c:pt idx="4">
                  <c:v>2371506.3499999996</c:v>
                </c:pt>
                <c:pt idx="5">
                  <c:v>661781.54999999981</c:v>
                </c:pt>
              </c:numCache>
            </c:numRef>
          </c:val>
          <c:extLst>
            <c:ext xmlns:c16="http://schemas.microsoft.com/office/drawing/2014/chart" uri="{C3380CC4-5D6E-409C-BE32-E72D297353CC}">
              <c16:uniqueId val="{0000000C-C8B9-40E3-9D60-3C728F7C74C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373380</xdr:colOff>
      <xdr:row>6</xdr:row>
      <xdr:rowOff>41910</xdr:rowOff>
    </xdr:from>
    <xdr:to>
      <xdr:col>11</xdr:col>
      <xdr:colOff>68580</xdr:colOff>
      <xdr:row>21</xdr:row>
      <xdr:rowOff>41910</xdr:rowOff>
    </xdr:to>
    <xdr:graphicFrame macro="">
      <xdr:nvGraphicFramePr>
        <xdr:cNvPr id="2" name="Chart 1">
          <a:extLst>
            <a:ext uri="{FF2B5EF4-FFF2-40B4-BE49-F238E27FC236}">
              <a16:creationId xmlns:a16="http://schemas.microsoft.com/office/drawing/2014/main" id="{44B19298-02D6-8924-3B44-8A5E6B276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342900</xdr:colOff>
      <xdr:row>6</xdr:row>
      <xdr:rowOff>41910</xdr:rowOff>
    </xdr:from>
    <xdr:to>
      <xdr:col>11</xdr:col>
      <xdr:colOff>38100</xdr:colOff>
      <xdr:row>21</xdr:row>
      <xdr:rowOff>41910</xdr:rowOff>
    </xdr:to>
    <xdr:graphicFrame macro="">
      <xdr:nvGraphicFramePr>
        <xdr:cNvPr id="2" name="Chart 1">
          <a:extLst>
            <a:ext uri="{FF2B5EF4-FFF2-40B4-BE49-F238E27FC236}">
              <a16:creationId xmlns:a16="http://schemas.microsoft.com/office/drawing/2014/main" id="{D928CC90-E948-BE0B-1CAE-23AB93B61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563880</xdr:colOff>
      <xdr:row>4</xdr:row>
      <xdr:rowOff>22860</xdr:rowOff>
    </xdr:from>
    <xdr:to>
      <xdr:col>12</xdr:col>
      <xdr:colOff>137160</xdr:colOff>
      <xdr:row>21</xdr:row>
      <xdr:rowOff>41910</xdr:rowOff>
    </xdr:to>
    <xdr:graphicFrame macro="">
      <xdr:nvGraphicFramePr>
        <xdr:cNvPr id="2" name="Chart 1">
          <a:extLst>
            <a:ext uri="{FF2B5EF4-FFF2-40B4-BE49-F238E27FC236}">
              <a16:creationId xmlns:a16="http://schemas.microsoft.com/office/drawing/2014/main" id="{BF3FE9DF-C161-1A36-E4E7-0D0BEF5652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373380</xdr:colOff>
      <xdr:row>5</xdr:row>
      <xdr:rowOff>68580</xdr:rowOff>
    </xdr:from>
    <xdr:to>
      <xdr:col>11</xdr:col>
      <xdr:colOff>68580</xdr:colOff>
      <xdr:row>21</xdr:row>
      <xdr:rowOff>41910</xdr:rowOff>
    </xdr:to>
    <xdr:graphicFrame macro="">
      <xdr:nvGraphicFramePr>
        <xdr:cNvPr id="2" name="Chart 1">
          <a:extLst>
            <a:ext uri="{FF2B5EF4-FFF2-40B4-BE49-F238E27FC236}">
              <a16:creationId xmlns:a16="http://schemas.microsoft.com/office/drawing/2014/main" id="{3A8019F6-9B86-2846-F2D5-F41C1E9BB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373380</xdr:colOff>
      <xdr:row>6</xdr:row>
      <xdr:rowOff>41910</xdr:rowOff>
    </xdr:from>
    <xdr:to>
      <xdr:col>11</xdr:col>
      <xdr:colOff>68580</xdr:colOff>
      <xdr:row>21</xdr:row>
      <xdr:rowOff>41910</xdr:rowOff>
    </xdr:to>
    <xdr:graphicFrame macro="">
      <xdr:nvGraphicFramePr>
        <xdr:cNvPr id="2" name="Chart 1">
          <a:extLst>
            <a:ext uri="{FF2B5EF4-FFF2-40B4-BE49-F238E27FC236}">
              <a16:creationId xmlns:a16="http://schemas.microsoft.com/office/drawing/2014/main" id="{38920F7A-567A-F014-42AA-C40C8F25E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129540</xdr:colOff>
      <xdr:row>6</xdr:row>
      <xdr:rowOff>41910</xdr:rowOff>
    </xdr:from>
    <xdr:to>
      <xdr:col>12</xdr:col>
      <xdr:colOff>434340</xdr:colOff>
      <xdr:row>21</xdr:row>
      <xdr:rowOff>41910</xdr:rowOff>
    </xdr:to>
    <xdr:graphicFrame macro="">
      <xdr:nvGraphicFramePr>
        <xdr:cNvPr id="2" name="Chart 1">
          <a:extLst>
            <a:ext uri="{FF2B5EF4-FFF2-40B4-BE49-F238E27FC236}">
              <a16:creationId xmlns:a16="http://schemas.microsoft.com/office/drawing/2014/main" id="{C30D45A8-DF0C-7AC8-C4F1-1301A8E72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373380</xdr:colOff>
      <xdr:row>3</xdr:row>
      <xdr:rowOff>114300</xdr:rowOff>
    </xdr:from>
    <xdr:to>
      <xdr:col>11</xdr:col>
      <xdr:colOff>68580</xdr:colOff>
      <xdr:row>21</xdr:row>
      <xdr:rowOff>41910</xdr:rowOff>
    </xdr:to>
    <xdr:graphicFrame macro="">
      <xdr:nvGraphicFramePr>
        <xdr:cNvPr id="2" name="Chart 1">
          <a:extLst>
            <a:ext uri="{FF2B5EF4-FFF2-40B4-BE49-F238E27FC236}">
              <a16:creationId xmlns:a16="http://schemas.microsoft.com/office/drawing/2014/main" id="{84DB62DB-008D-C413-B462-8CC5FC904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228600</xdr:colOff>
      <xdr:row>6</xdr:row>
      <xdr:rowOff>125730</xdr:rowOff>
    </xdr:from>
    <xdr:to>
      <xdr:col>10</xdr:col>
      <xdr:colOff>533400</xdr:colOff>
      <xdr:row>21</xdr:row>
      <xdr:rowOff>125730</xdr:rowOff>
    </xdr:to>
    <xdr:graphicFrame macro="">
      <xdr:nvGraphicFramePr>
        <xdr:cNvPr id="2" name="Chart 1">
          <a:extLst>
            <a:ext uri="{FF2B5EF4-FFF2-40B4-BE49-F238E27FC236}">
              <a16:creationId xmlns:a16="http://schemas.microsoft.com/office/drawing/2014/main" id="{FFB2D10E-E32D-5307-331C-A72733653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551144</xdr:colOff>
      <xdr:row>10</xdr:row>
      <xdr:rowOff>154649</xdr:rowOff>
    </xdr:from>
    <xdr:to>
      <xdr:col>4</xdr:col>
      <xdr:colOff>511342</xdr:colOff>
      <xdr:row>13</xdr:row>
      <xdr:rowOff>57728</xdr:rowOff>
    </xdr:to>
    <xdr:sp macro="" textlink="">
      <xdr:nvSpPr>
        <xdr:cNvPr id="4" name="TextBox 3">
          <a:extLst>
            <a:ext uri="{FF2B5EF4-FFF2-40B4-BE49-F238E27FC236}">
              <a16:creationId xmlns:a16="http://schemas.microsoft.com/office/drawing/2014/main" id="{261413BD-2341-195C-2510-C914ACB976E3}"/>
            </a:ext>
          </a:extLst>
        </xdr:cNvPr>
        <xdr:cNvSpPr txBox="1"/>
      </xdr:nvSpPr>
      <xdr:spPr>
        <a:xfrm>
          <a:off x="1162749" y="2179965"/>
          <a:ext cx="1795014"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600" b="1" i="0">
              <a:ln>
                <a:solidFill>
                  <a:schemeClr val="bg1"/>
                </a:solidFill>
              </a:ln>
              <a:solidFill>
                <a:srgbClr val="00FFFF"/>
              </a:solidFill>
              <a:latin typeface="Segoe UI Emoji" panose="020B0502040204020203" pitchFamily="34" charset="0"/>
              <a:ea typeface="Segoe UI Emoji" panose="020B0502040204020203" pitchFamily="34" charset="0"/>
              <a:cs typeface="Arial" panose="020B0604020202020204" pitchFamily="34" charset="0"/>
            </a:rPr>
            <a:t>Total</a:t>
          </a:r>
          <a:r>
            <a:rPr lang="en-IN" sz="1600" b="1" i="0" baseline="0">
              <a:ln>
                <a:solidFill>
                  <a:schemeClr val="bg1"/>
                </a:solidFill>
              </a:ln>
              <a:solidFill>
                <a:srgbClr val="00FFFF"/>
              </a:solidFill>
              <a:latin typeface="Segoe UI Emoji" panose="020B0502040204020203" pitchFamily="34" charset="0"/>
              <a:ea typeface="Segoe UI Emoji" panose="020B0502040204020203" pitchFamily="34" charset="0"/>
              <a:cs typeface="Arial" panose="020B0604020202020204" pitchFamily="34" charset="0"/>
            </a:rPr>
            <a:t> </a:t>
          </a:r>
          <a:r>
            <a:rPr lang="en-IN" sz="1800" b="1" i="0" baseline="0">
              <a:ln>
                <a:solidFill>
                  <a:schemeClr val="bg1"/>
                </a:solidFill>
              </a:ln>
              <a:solidFill>
                <a:srgbClr val="00FFFF"/>
              </a:solidFill>
              <a:latin typeface="Segoe UI Emoji" panose="020B0502040204020203" pitchFamily="34" charset="0"/>
              <a:ea typeface="Segoe UI Emoji" panose="020B0502040204020203" pitchFamily="34" charset="0"/>
              <a:cs typeface="Arial" panose="020B0604020202020204" pitchFamily="34" charset="0"/>
            </a:rPr>
            <a:t>Revenue</a:t>
          </a:r>
          <a:endParaRPr lang="en-IN" sz="1600" b="1" i="0">
            <a:ln>
              <a:solidFill>
                <a:schemeClr val="bg1"/>
              </a:solidFill>
            </a:ln>
            <a:solidFill>
              <a:srgbClr val="00FFFF"/>
            </a:solidFill>
            <a:latin typeface="Segoe UI Emoji" panose="020B0502040204020203" pitchFamily="34" charset="0"/>
            <a:ea typeface="Segoe UI Emoji" panose="020B0502040204020203" pitchFamily="34" charset="0"/>
            <a:cs typeface="Arial" panose="020B0604020202020204" pitchFamily="34" charset="0"/>
          </a:endParaRPr>
        </a:p>
      </xdr:txBody>
    </xdr:sp>
    <xdr:clientData/>
  </xdr:twoCellAnchor>
  <xdr:twoCellAnchor>
    <xdr:from>
      <xdr:col>0</xdr:col>
      <xdr:colOff>484052</xdr:colOff>
      <xdr:row>5</xdr:row>
      <xdr:rowOff>166914</xdr:rowOff>
    </xdr:from>
    <xdr:to>
      <xdr:col>0</xdr:col>
      <xdr:colOff>529771</xdr:colOff>
      <xdr:row>5</xdr:row>
      <xdr:rowOff>212633</xdr:rowOff>
    </xdr:to>
    <xdr:sp macro="" textlink="">
      <xdr:nvSpPr>
        <xdr:cNvPr id="6" name="Rectangle: Rounded Corners 5">
          <a:extLst>
            <a:ext uri="{FF2B5EF4-FFF2-40B4-BE49-F238E27FC236}">
              <a16:creationId xmlns:a16="http://schemas.microsoft.com/office/drawing/2014/main" id="{3E5B92A9-F149-F83F-B18C-D3C04ADD3ED7}"/>
            </a:ext>
          </a:extLst>
        </xdr:cNvPr>
        <xdr:cNvSpPr/>
      </xdr:nvSpPr>
      <xdr:spPr>
        <a:xfrm>
          <a:off x="484052" y="1074057"/>
          <a:ext cx="45719" cy="457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346798</xdr:colOff>
      <xdr:row>5</xdr:row>
      <xdr:rowOff>217792</xdr:rowOff>
    </xdr:from>
    <xdr:to>
      <xdr:col>6</xdr:col>
      <xdr:colOff>74029</xdr:colOff>
      <xdr:row>13</xdr:row>
      <xdr:rowOff>16561</xdr:rowOff>
    </xdr:to>
    <xdr:sp macro="" textlink="Table1!X3">
      <xdr:nvSpPr>
        <xdr:cNvPr id="10" name="Rectangle: Rounded Corners 9">
          <a:extLst>
            <a:ext uri="{FF2B5EF4-FFF2-40B4-BE49-F238E27FC236}">
              <a16:creationId xmlns:a16="http://schemas.microsoft.com/office/drawing/2014/main" id="{7F1E142F-5EE9-2C02-8E5B-06F5257170CA}"/>
            </a:ext>
          </a:extLst>
        </xdr:cNvPr>
        <xdr:cNvSpPr/>
      </xdr:nvSpPr>
      <xdr:spPr>
        <a:xfrm>
          <a:off x="346798" y="1097023"/>
          <a:ext cx="3420000" cy="1440000"/>
        </a:xfrm>
        <a:prstGeom prst="roundRect">
          <a:avLst/>
        </a:prstGeom>
        <a:solidFill>
          <a:schemeClr val="accent5">
            <a:lumMod val="60000"/>
            <a:lumOff val="40000"/>
          </a:schemeClr>
        </a:solidFill>
        <a:effectLst>
          <a:outerShdw blurRad="228600" dist="38100" dir="5400000" sx="101000" sy="101000" algn="t" rotWithShape="0">
            <a:prstClr val="black">
              <a:alpha val="8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508EDD-C823-4AFD-A2C2-3B7DC60D09A1}" type="TxLink">
            <a:rPr lang="en-US" sz="2800" b="0" i="0" u="none" strike="noStrike">
              <a:solidFill>
                <a:srgbClr val="002060"/>
              </a:solidFill>
              <a:latin typeface="Arial"/>
              <a:cs typeface="Arial"/>
            </a:rPr>
            <a:pPr algn="ctr"/>
            <a:t> 1,28,98,260 </a:t>
          </a:fld>
          <a:endParaRPr lang="en-IN" sz="3600">
            <a:solidFill>
              <a:srgbClr val="002060"/>
            </a:solidFill>
          </a:endParaRPr>
        </a:p>
      </xdr:txBody>
    </xdr:sp>
    <xdr:clientData/>
  </xdr:twoCellAnchor>
  <xdr:oneCellAnchor>
    <xdr:from>
      <xdr:col>17</xdr:col>
      <xdr:colOff>441158</xdr:colOff>
      <xdr:row>17</xdr:row>
      <xdr:rowOff>170447</xdr:rowOff>
    </xdr:from>
    <xdr:ext cx="184731" cy="264560"/>
    <xdr:sp macro="" textlink="">
      <xdr:nvSpPr>
        <xdr:cNvPr id="12" name="TextBox 11">
          <a:extLst>
            <a:ext uri="{FF2B5EF4-FFF2-40B4-BE49-F238E27FC236}">
              <a16:creationId xmlns:a16="http://schemas.microsoft.com/office/drawing/2014/main" id="{E58676BA-3F22-CC1F-6C91-861D5E4D753E}"/>
            </a:ext>
          </a:extLst>
        </xdr:cNvPr>
        <xdr:cNvSpPr txBox="1"/>
      </xdr:nvSpPr>
      <xdr:spPr>
        <a:xfrm>
          <a:off x="10838447" y="34590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91009</xdr:colOff>
      <xdr:row>10</xdr:row>
      <xdr:rowOff>102577</xdr:rowOff>
    </xdr:from>
    <xdr:to>
      <xdr:col>4</xdr:col>
      <xdr:colOff>483577</xdr:colOff>
      <xdr:row>13</xdr:row>
      <xdr:rowOff>35159</xdr:rowOff>
    </xdr:to>
    <xdr:sp macro="" textlink="">
      <xdr:nvSpPr>
        <xdr:cNvPr id="13" name="TextBox 12">
          <a:extLst>
            <a:ext uri="{FF2B5EF4-FFF2-40B4-BE49-F238E27FC236}">
              <a16:creationId xmlns:a16="http://schemas.microsoft.com/office/drawing/2014/main" id="{710F610B-A284-4BD6-BE19-F65F341F80AC}"/>
            </a:ext>
          </a:extLst>
        </xdr:cNvPr>
        <xdr:cNvSpPr txBox="1"/>
      </xdr:nvSpPr>
      <xdr:spPr>
        <a:xfrm>
          <a:off x="1321932" y="2095500"/>
          <a:ext cx="1623491" cy="460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002060"/>
              </a:solidFill>
            </a:rPr>
            <a:t>Total</a:t>
          </a:r>
          <a:r>
            <a:rPr lang="en-IN" sz="1800" baseline="0">
              <a:solidFill>
                <a:srgbClr val="002060"/>
              </a:solidFill>
            </a:rPr>
            <a:t> Revenue</a:t>
          </a:r>
          <a:endParaRPr lang="en-IN" sz="1800">
            <a:solidFill>
              <a:srgbClr val="002060"/>
            </a:solidFill>
          </a:endParaRPr>
        </a:p>
      </xdr:txBody>
    </xdr:sp>
    <xdr:clientData/>
  </xdr:twoCellAnchor>
  <xdr:twoCellAnchor>
    <xdr:from>
      <xdr:col>7</xdr:col>
      <xdr:colOff>306958</xdr:colOff>
      <xdr:row>5</xdr:row>
      <xdr:rowOff>246030</xdr:rowOff>
    </xdr:from>
    <xdr:to>
      <xdr:col>12</xdr:col>
      <xdr:colOff>488458</xdr:colOff>
      <xdr:row>13</xdr:row>
      <xdr:rowOff>44799</xdr:rowOff>
    </xdr:to>
    <xdr:sp macro="" textlink="Table1!X4">
      <xdr:nvSpPr>
        <xdr:cNvPr id="14" name="Rectangle: Rounded Corners 13">
          <a:extLst>
            <a:ext uri="{FF2B5EF4-FFF2-40B4-BE49-F238E27FC236}">
              <a16:creationId xmlns:a16="http://schemas.microsoft.com/office/drawing/2014/main" id="{0CE57DA1-9A05-4AFE-AD2A-4CBE65CBDA8D}"/>
            </a:ext>
          </a:extLst>
        </xdr:cNvPr>
        <xdr:cNvSpPr/>
      </xdr:nvSpPr>
      <xdr:spPr>
        <a:xfrm>
          <a:off x="4615189" y="1125261"/>
          <a:ext cx="3420000" cy="1440000"/>
        </a:xfrm>
        <a:prstGeom prst="roundRect">
          <a:avLst/>
        </a:prstGeom>
        <a:solidFill>
          <a:schemeClr val="accent5">
            <a:lumMod val="60000"/>
            <a:lumOff val="40000"/>
          </a:schemeClr>
        </a:solidFill>
        <a:effectLst>
          <a:outerShdw blurRad="228600" dist="38100" dir="5400000" sx="101000" sy="101000" algn="t" rotWithShape="0">
            <a:prstClr val="black">
              <a:alpha val="8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C8EC48-B74C-487E-8982-6FF22CFC5EB6}" type="TxLink">
            <a:rPr lang="en-US" sz="3200" b="0" i="0" u="none" strike="noStrike">
              <a:solidFill>
                <a:srgbClr val="002060"/>
              </a:solidFill>
              <a:latin typeface="Calibri"/>
              <a:ea typeface="Calibri"/>
              <a:cs typeface="Calibri"/>
            </a:rPr>
            <a:pPr algn="ctr"/>
            <a:t>500</a:t>
          </a:fld>
          <a:endParaRPr lang="en-IN" sz="8000">
            <a:solidFill>
              <a:srgbClr val="002060"/>
            </a:solidFill>
          </a:endParaRPr>
        </a:p>
      </xdr:txBody>
    </xdr:sp>
    <xdr:clientData/>
  </xdr:twoCellAnchor>
  <xdr:twoCellAnchor>
    <xdr:from>
      <xdr:col>9</xdr:col>
      <xdr:colOff>77125</xdr:colOff>
      <xdr:row>10</xdr:row>
      <xdr:rowOff>122630</xdr:rowOff>
    </xdr:from>
    <xdr:to>
      <xdr:col>11</xdr:col>
      <xdr:colOff>589974</xdr:colOff>
      <xdr:row>13</xdr:row>
      <xdr:rowOff>103801</xdr:rowOff>
    </xdr:to>
    <xdr:sp macro="" textlink="">
      <xdr:nvSpPr>
        <xdr:cNvPr id="17" name="TextBox 16">
          <a:extLst>
            <a:ext uri="{FF2B5EF4-FFF2-40B4-BE49-F238E27FC236}">
              <a16:creationId xmlns:a16="http://schemas.microsoft.com/office/drawing/2014/main" id="{C58FDE83-C234-4641-9240-021BC7F7BE1A}"/>
            </a:ext>
          </a:extLst>
        </xdr:cNvPr>
        <xdr:cNvSpPr txBox="1"/>
      </xdr:nvSpPr>
      <xdr:spPr>
        <a:xfrm>
          <a:off x="5645587" y="2115553"/>
          <a:ext cx="1875656" cy="508710"/>
        </a:xfrm>
        <a:prstGeom prst="rect">
          <a:avLst/>
        </a:prstGeom>
        <a:noFill/>
        <a:ln w="9525" cmpd="sng">
          <a:noFill/>
        </a:ln>
        <a:effectLst>
          <a:outerShdw blurRad="228600" dist="38100" dir="5400000" sx="101000" sy="101000" algn="t" rotWithShape="0">
            <a:prstClr val="black">
              <a:alpha val="8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002060"/>
              </a:solidFill>
            </a:rPr>
            <a:t>Total</a:t>
          </a:r>
          <a:r>
            <a:rPr lang="en-IN" sz="1800" baseline="0">
              <a:solidFill>
                <a:srgbClr val="00FFFF"/>
              </a:solidFill>
            </a:rPr>
            <a:t> </a:t>
          </a:r>
          <a:r>
            <a:rPr lang="en-IN" sz="1800" baseline="0">
              <a:solidFill>
                <a:srgbClr val="002060"/>
              </a:solidFill>
            </a:rPr>
            <a:t>Orders</a:t>
          </a:r>
          <a:endParaRPr lang="en-IN" sz="1800">
            <a:solidFill>
              <a:srgbClr val="002060"/>
            </a:solidFill>
          </a:endParaRPr>
        </a:p>
      </xdr:txBody>
    </xdr:sp>
    <xdr:clientData/>
  </xdr:twoCellAnchor>
  <xdr:twoCellAnchor>
    <xdr:from>
      <xdr:col>14</xdr:col>
      <xdr:colOff>287411</xdr:colOff>
      <xdr:row>5</xdr:row>
      <xdr:rowOff>268653</xdr:rowOff>
    </xdr:from>
    <xdr:to>
      <xdr:col>20</xdr:col>
      <xdr:colOff>14642</xdr:colOff>
      <xdr:row>13</xdr:row>
      <xdr:rowOff>67422</xdr:rowOff>
    </xdr:to>
    <xdr:sp macro="" textlink="Table1!X5">
      <xdr:nvSpPr>
        <xdr:cNvPr id="18" name="Rectangle: Rounded Corners 17">
          <a:extLst>
            <a:ext uri="{FF2B5EF4-FFF2-40B4-BE49-F238E27FC236}">
              <a16:creationId xmlns:a16="http://schemas.microsoft.com/office/drawing/2014/main" id="{1626F4EA-3E04-4EDB-8987-A10604CE508F}"/>
            </a:ext>
          </a:extLst>
        </xdr:cNvPr>
        <xdr:cNvSpPr/>
      </xdr:nvSpPr>
      <xdr:spPr>
        <a:xfrm>
          <a:off x="9065065" y="1147884"/>
          <a:ext cx="3420000" cy="1440000"/>
        </a:xfrm>
        <a:prstGeom prst="roundRect">
          <a:avLst/>
        </a:prstGeom>
        <a:solidFill>
          <a:schemeClr val="accent5">
            <a:lumMod val="60000"/>
            <a:lumOff val="40000"/>
          </a:schemeClr>
        </a:solidFill>
        <a:effectLst>
          <a:outerShdw blurRad="228600" dist="38100" dir="5400000" sx="101000" sy="101000" algn="t" rotWithShape="0">
            <a:prstClr val="black">
              <a:alpha val="8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A192078-4727-4EE8-AEC4-5052F8A02DEA}" type="TxLink">
            <a:rPr lang="en-US" sz="3200" b="0" i="0" u="none" strike="noStrike">
              <a:solidFill>
                <a:srgbClr val="002060"/>
              </a:solidFill>
              <a:latin typeface="Calibri"/>
              <a:ea typeface="Calibri"/>
              <a:cs typeface="Calibri"/>
            </a:rPr>
            <a:pPr algn="ctr"/>
            <a:t>86.83%</a:t>
          </a:fld>
          <a:endParaRPr lang="en-IN" sz="28700">
            <a:solidFill>
              <a:srgbClr val="002060"/>
            </a:solidFill>
          </a:endParaRPr>
        </a:p>
      </xdr:txBody>
    </xdr:sp>
    <xdr:clientData/>
  </xdr:twoCellAnchor>
  <xdr:twoCellAnchor>
    <xdr:from>
      <xdr:col>16</xdr:col>
      <xdr:colOff>19283</xdr:colOff>
      <xdr:row>10</xdr:row>
      <xdr:rowOff>110289</xdr:rowOff>
    </xdr:from>
    <xdr:to>
      <xdr:col>18</xdr:col>
      <xdr:colOff>502824</xdr:colOff>
      <xdr:row>13</xdr:row>
      <xdr:rowOff>86832</xdr:rowOff>
    </xdr:to>
    <xdr:sp macro="" textlink="">
      <xdr:nvSpPr>
        <xdr:cNvPr id="23" name="TextBox 22">
          <a:extLst>
            <a:ext uri="{FF2B5EF4-FFF2-40B4-BE49-F238E27FC236}">
              <a16:creationId xmlns:a16="http://schemas.microsoft.com/office/drawing/2014/main" id="{89589596-58D4-4CB0-93A3-56BF227B11C6}"/>
            </a:ext>
          </a:extLst>
        </xdr:cNvPr>
        <xdr:cNvSpPr txBox="1"/>
      </xdr:nvSpPr>
      <xdr:spPr>
        <a:xfrm>
          <a:off x="10027860" y="2103212"/>
          <a:ext cx="1714464" cy="504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002060"/>
              </a:solidFill>
            </a:rPr>
            <a:t>Delivered rate</a:t>
          </a:r>
          <a:r>
            <a:rPr lang="en-IN" sz="1800" baseline="0">
              <a:solidFill>
                <a:srgbClr val="002060"/>
              </a:solidFill>
            </a:rPr>
            <a:t> </a:t>
          </a:r>
          <a:endParaRPr lang="en-IN" sz="1800">
            <a:solidFill>
              <a:srgbClr val="002060"/>
            </a:solidFill>
          </a:endParaRPr>
        </a:p>
      </xdr:txBody>
    </xdr:sp>
    <xdr:clientData/>
  </xdr:twoCellAnchor>
  <xdr:twoCellAnchor>
    <xdr:from>
      <xdr:col>21</xdr:col>
      <xdr:colOff>542193</xdr:colOff>
      <xdr:row>5</xdr:row>
      <xdr:rowOff>234853</xdr:rowOff>
    </xdr:from>
    <xdr:to>
      <xdr:col>24</xdr:col>
      <xdr:colOff>2115809</xdr:colOff>
      <xdr:row>13</xdr:row>
      <xdr:rowOff>33622</xdr:rowOff>
    </xdr:to>
    <xdr:sp macro="" textlink="Table1!X6">
      <xdr:nvSpPr>
        <xdr:cNvPr id="24" name="Rectangle: Rounded Corners 23">
          <a:extLst>
            <a:ext uri="{FF2B5EF4-FFF2-40B4-BE49-F238E27FC236}">
              <a16:creationId xmlns:a16="http://schemas.microsoft.com/office/drawing/2014/main" id="{538B457B-ADF2-4786-B8B6-C60CBB0F53C3}"/>
            </a:ext>
          </a:extLst>
        </xdr:cNvPr>
        <xdr:cNvSpPr/>
      </xdr:nvSpPr>
      <xdr:spPr>
        <a:xfrm>
          <a:off x="13628078" y="1114084"/>
          <a:ext cx="3420000" cy="1440000"/>
        </a:xfrm>
        <a:prstGeom prst="roundRect">
          <a:avLst/>
        </a:prstGeom>
        <a:solidFill>
          <a:schemeClr val="accent5">
            <a:lumMod val="60000"/>
            <a:lumOff val="40000"/>
          </a:schemeClr>
        </a:solidFill>
        <a:effectLst>
          <a:outerShdw blurRad="228600" dist="38100" dir="5400000" sx="101000" sy="101000" algn="t" rotWithShape="0">
            <a:prstClr val="black">
              <a:alpha val="8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519FCF-5F4D-42B2-B287-CE48F045F222}" type="TxLink">
            <a:rPr lang="en-US" sz="2800" b="0" i="0" u="none" strike="noStrike">
              <a:solidFill>
                <a:srgbClr val="002060"/>
              </a:solidFill>
              <a:latin typeface="Arial"/>
              <a:ea typeface="Calibri"/>
              <a:cs typeface="Arial"/>
            </a:rPr>
            <a:pPr algn="ctr"/>
            <a:t>3.0 / 5</a:t>
          </a:fld>
          <a:endParaRPr lang="en-IN" sz="2800">
            <a:solidFill>
              <a:srgbClr val="002060"/>
            </a:solidFill>
          </a:endParaRPr>
        </a:p>
      </xdr:txBody>
    </xdr:sp>
    <xdr:clientData/>
  </xdr:twoCellAnchor>
  <xdr:twoCellAnchor>
    <xdr:from>
      <xdr:col>23</xdr:col>
      <xdr:colOff>309489</xdr:colOff>
      <xdr:row>10</xdr:row>
      <xdr:rowOff>80982</xdr:rowOff>
    </xdr:from>
    <xdr:to>
      <xdr:col>24</xdr:col>
      <xdr:colOff>1408493</xdr:colOff>
      <xdr:row>13</xdr:row>
      <xdr:rowOff>57525</xdr:rowOff>
    </xdr:to>
    <xdr:sp macro="" textlink="">
      <xdr:nvSpPr>
        <xdr:cNvPr id="26" name="TextBox 25">
          <a:extLst>
            <a:ext uri="{FF2B5EF4-FFF2-40B4-BE49-F238E27FC236}">
              <a16:creationId xmlns:a16="http://schemas.microsoft.com/office/drawing/2014/main" id="{98A6F740-DDE5-4F50-8DF5-6797FCBC23BF}"/>
            </a:ext>
          </a:extLst>
        </xdr:cNvPr>
        <xdr:cNvSpPr txBox="1"/>
      </xdr:nvSpPr>
      <xdr:spPr>
        <a:xfrm>
          <a:off x="14626297" y="2073905"/>
          <a:ext cx="1714465" cy="504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002060"/>
              </a:solidFill>
            </a:rPr>
            <a:t>Average rate</a:t>
          </a:r>
          <a:r>
            <a:rPr lang="en-IN" sz="1800" baseline="0">
              <a:solidFill>
                <a:srgbClr val="002060"/>
              </a:solidFill>
            </a:rPr>
            <a:t> </a:t>
          </a:r>
          <a:endParaRPr lang="en-IN" sz="1800">
            <a:solidFill>
              <a:srgbClr val="002060"/>
            </a:solidFill>
          </a:endParaRPr>
        </a:p>
      </xdr:txBody>
    </xdr:sp>
    <xdr:clientData/>
  </xdr:twoCellAnchor>
  <xdr:oneCellAnchor>
    <xdr:from>
      <xdr:col>3</xdr:col>
      <xdr:colOff>25400</xdr:colOff>
      <xdr:row>5</xdr:row>
      <xdr:rowOff>183075</xdr:rowOff>
    </xdr:from>
    <xdr:ext cx="477520" cy="507127"/>
    <xdr:sp macro="" textlink="">
      <xdr:nvSpPr>
        <xdr:cNvPr id="27" name="TextBox 26">
          <a:extLst>
            <a:ext uri="{FF2B5EF4-FFF2-40B4-BE49-F238E27FC236}">
              <a16:creationId xmlns:a16="http://schemas.microsoft.com/office/drawing/2014/main" id="{86C6C607-AE4B-3796-EA52-0A6064416FD7}"/>
            </a:ext>
          </a:extLst>
        </xdr:cNvPr>
        <xdr:cNvSpPr txBox="1"/>
      </xdr:nvSpPr>
      <xdr:spPr>
        <a:xfrm>
          <a:off x="1871785" y="1062306"/>
          <a:ext cx="477520" cy="5071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a:t>💰</a:t>
          </a:r>
        </a:p>
      </xdr:txBody>
    </xdr:sp>
    <xdr:clientData/>
  </xdr:oneCellAnchor>
  <xdr:oneCellAnchor>
    <xdr:from>
      <xdr:col>9</xdr:col>
      <xdr:colOff>457200</xdr:colOff>
      <xdr:row>5</xdr:row>
      <xdr:rowOff>214532</xdr:rowOff>
    </xdr:from>
    <xdr:ext cx="677686" cy="576248"/>
    <xdr:sp macro="" textlink="">
      <xdr:nvSpPr>
        <xdr:cNvPr id="28" name="TextBox 27">
          <a:extLst>
            <a:ext uri="{FF2B5EF4-FFF2-40B4-BE49-F238E27FC236}">
              <a16:creationId xmlns:a16="http://schemas.microsoft.com/office/drawing/2014/main" id="{CF7E8D93-5194-2775-03F8-5F3305B8394C}"/>
            </a:ext>
          </a:extLst>
        </xdr:cNvPr>
        <xdr:cNvSpPr txBox="1"/>
      </xdr:nvSpPr>
      <xdr:spPr>
        <a:xfrm>
          <a:off x="6025662" y="1093763"/>
          <a:ext cx="677686" cy="576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a:t>
          </a:r>
        </a:p>
      </xdr:txBody>
    </xdr:sp>
    <xdr:clientData/>
  </xdr:oneCellAnchor>
  <xdr:oneCellAnchor>
    <xdr:from>
      <xdr:col>16</xdr:col>
      <xdr:colOff>457786</xdr:colOff>
      <xdr:row>5</xdr:row>
      <xdr:rowOff>329222</xdr:rowOff>
    </xdr:from>
    <xdr:ext cx="536814" cy="437940"/>
    <xdr:sp macro="" textlink="">
      <xdr:nvSpPr>
        <xdr:cNvPr id="29" name="TextBox 28">
          <a:extLst>
            <a:ext uri="{FF2B5EF4-FFF2-40B4-BE49-F238E27FC236}">
              <a16:creationId xmlns:a16="http://schemas.microsoft.com/office/drawing/2014/main" id="{33F4E9BC-9D47-9545-4035-2E006C8D56F9}"/>
            </a:ext>
          </a:extLst>
        </xdr:cNvPr>
        <xdr:cNvSpPr txBox="1"/>
      </xdr:nvSpPr>
      <xdr:spPr>
        <a:xfrm>
          <a:off x="10466363" y="1208453"/>
          <a:ext cx="536814" cy="437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a:t>✅</a:t>
          </a:r>
        </a:p>
      </xdr:txBody>
    </xdr:sp>
    <xdr:clientData/>
  </xdr:oneCellAnchor>
  <xdr:oneCellAnchor>
    <xdr:from>
      <xdr:col>24</xdr:col>
      <xdr:colOff>277642</xdr:colOff>
      <xdr:row>5</xdr:row>
      <xdr:rowOff>266114</xdr:rowOff>
    </xdr:from>
    <xdr:ext cx="536814" cy="437940"/>
    <xdr:sp macro="" textlink="">
      <xdr:nvSpPr>
        <xdr:cNvPr id="30" name="TextBox 29">
          <a:extLst>
            <a:ext uri="{FF2B5EF4-FFF2-40B4-BE49-F238E27FC236}">
              <a16:creationId xmlns:a16="http://schemas.microsoft.com/office/drawing/2014/main" id="{2E147E52-66F0-B979-737A-F47794639065}"/>
            </a:ext>
          </a:extLst>
        </xdr:cNvPr>
        <xdr:cNvSpPr txBox="1"/>
      </xdr:nvSpPr>
      <xdr:spPr>
        <a:xfrm>
          <a:off x="15209911" y="1145345"/>
          <a:ext cx="536814" cy="437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a:t>⭐</a:t>
          </a:r>
        </a:p>
      </xdr:txBody>
    </xdr:sp>
    <xdr:clientData/>
  </xdr:oneCellAnchor>
  <xdr:twoCellAnchor>
    <xdr:from>
      <xdr:col>3</xdr:col>
      <xdr:colOff>548640</xdr:colOff>
      <xdr:row>30</xdr:row>
      <xdr:rowOff>69730</xdr:rowOff>
    </xdr:from>
    <xdr:to>
      <xdr:col>11</xdr:col>
      <xdr:colOff>238766</xdr:colOff>
      <xdr:row>47</xdr:row>
      <xdr:rowOff>174885</xdr:rowOff>
    </xdr:to>
    <xdr:graphicFrame macro="">
      <xdr:nvGraphicFramePr>
        <xdr:cNvPr id="2" name="Chart 1">
          <a:extLst>
            <a:ext uri="{FF2B5EF4-FFF2-40B4-BE49-F238E27FC236}">
              <a16:creationId xmlns:a16="http://schemas.microsoft.com/office/drawing/2014/main" id="{224A1293-04A4-4674-B085-82AAF7A14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224251</xdr:colOff>
      <xdr:row>31</xdr:row>
      <xdr:rowOff>2864</xdr:rowOff>
    </xdr:from>
    <xdr:to>
      <xdr:col>25</xdr:col>
      <xdr:colOff>313765</xdr:colOff>
      <xdr:row>48</xdr:row>
      <xdr:rowOff>104813</xdr:rowOff>
    </xdr:to>
    <xdr:graphicFrame macro="">
      <xdr:nvGraphicFramePr>
        <xdr:cNvPr id="5" name="Chart 4">
          <a:extLst>
            <a:ext uri="{FF2B5EF4-FFF2-40B4-BE49-F238E27FC236}">
              <a16:creationId xmlns:a16="http://schemas.microsoft.com/office/drawing/2014/main" id="{617F86D8-3B1C-4E2D-9444-535AD1EF1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354195</xdr:colOff>
      <xdr:row>30</xdr:row>
      <xdr:rowOff>144083</xdr:rowOff>
    </xdr:from>
    <xdr:to>
      <xdr:col>21</xdr:col>
      <xdr:colOff>29887</xdr:colOff>
      <xdr:row>48</xdr:row>
      <xdr:rowOff>40858</xdr:rowOff>
    </xdr:to>
    <xdr:graphicFrame macro="">
      <xdr:nvGraphicFramePr>
        <xdr:cNvPr id="7" name="Chart 6">
          <a:extLst>
            <a:ext uri="{FF2B5EF4-FFF2-40B4-BE49-F238E27FC236}">
              <a16:creationId xmlns:a16="http://schemas.microsoft.com/office/drawing/2014/main" id="{EB460756-A06E-49B9-B9A9-EC1B8B594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125150</xdr:colOff>
      <xdr:row>48</xdr:row>
      <xdr:rowOff>152400</xdr:rowOff>
    </xdr:from>
    <xdr:to>
      <xdr:col>8</xdr:col>
      <xdr:colOff>1</xdr:colOff>
      <xdr:row>67</xdr:row>
      <xdr:rowOff>149411</xdr:rowOff>
    </xdr:to>
    <xdr:graphicFrame macro="">
      <xdr:nvGraphicFramePr>
        <xdr:cNvPr id="8" name="Chart 7">
          <a:extLst>
            <a:ext uri="{FF2B5EF4-FFF2-40B4-BE49-F238E27FC236}">
              <a16:creationId xmlns:a16="http://schemas.microsoft.com/office/drawing/2014/main" id="{9189A5D2-52A7-4B9A-9B81-E1527ACCF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486383</xdr:colOff>
      <xdr:row>15</xdr:row>
      <xdr:rowOff>58575</xdr:rowOff>
    </xdr:from>
    <xdr:to>
      <xdr:col>19</xdr:col>
      <xdr:colOff>518809</xdr:colOff>
      <xdr:row>30</xdr:row>
      <xdr:rowOff>13510</xdr:rowOff>
    </xdr:to>
    <xdr:graphicFrame macro="">
      <xdr:nvGraphicFramePr>
        <xdr:cNvPr id="11" name="Chart 10">
          <a:extLst>
            <a:ext uri="{FF2B5EF4-FFF2-40B4-BE49-F238E27FC236}">
              <a16:creationId xmlns:a16="http://schemas.microsoft.com/office/drawing/2014/main" id="{CCC51250-9C37-4A6D-A06A-3062634F5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193438</xdr:colOff>
      <xdr:row>49</xdr:row>
      <xdr:rowOff>61133</xdr:rowOff>
    </xdr:from>
    <xdr:to>
      <xdr:col>25</xdr:col>
      <xdr:colOff>328705</xdr:colOff>
      <xdr:row>68</xdr:row>
      <xdr:rowOff>8105</xdr:rowOff>
    </xdr:to>
    <xdr:graphicFrame macro="">
      <xdr:nvGraphicFramePr>
        <xdr:cNvPr id="15" name="Chart 14">
          <a:extLst>
            <a:ext uri="{FF2B5EF4-FFF2-40B4-BE49-F238E27FC236}">
              <a16:creationId xmlns:a16="http://schemas.microsoft.com/office/drawing/2014/main" id="{501EBE03-414D-4CD7-858C-156964B96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117358</xdr:colOff>
      <xdr:row>14</xdr:row>
      <xdr:rowOff>114339</xdr:rowOff>
    </xdr:from>
    <xdr:to>
      <xdr:col>3</xdr:col>
      <xdr:colOff>179817</xdr:colOff>
      <xdr:row>33</xdr:row>
      <xdr:rowOff>70186</xdr:rowOff>
    </xdr:to>
    <mc:AlternateContent xmlns:mc="http://schemas.openxmlformats.org/markup-compatibility/2006" xmlns:a14="http://schemas.microsoft.com/office/drawing/2010/main">
      <mc:Choice Requires="a14">
        <xdr:graphicFrame macro="">
          <xdr:nvGraphicFramePr>
            <xdr:cNvPr id="22" name="Months (OrderDate)">
              <a:extLst>
                <a:ext uri="{FF2B5EF4-FFF2-40B4-BE49-F238E27FC236}">
                  <a16:creationId xmlns:a16="http://schemas.microsoft.com/office/drawing/2014/main" id="{901B6447-ED44-8E71-0D53-72BC1837DC35}"/>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117358" y="3072692"/>
              <a:ext cx="1900224" cy="3481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81064</xdr:colOff>
      <xdr:row>48</xdr:row>
      <xdr:rowOff>146395</xdr:rowOff>
    </xdr:from>
    <xdr:to>
      <xdr:col>21</xdr:col>
      <xdr:colOff>64851</xdr:colOff>
      <xdr:row>68</xdr:row>
      <xdr:rowOff>0</xdr:rowOff>
    </xdr:to>
    <xdr:graphicFrame macro="">
      <xdr:nvGraphicFramePr>
        <xdr:cNvPr id="25" name="Chart 24">
          <a:extLst>
            <a:ext uri="{FF2B5EF4-FFF2-40B4-BE49-F238E27FC236}">
              <a16:creationId xmlns:a16="http://schemas.microsoft.com/office/drawing/2014/main" id="{879643F9-5D3B-4306-AFAF-5EEDAFA2D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124918</xdr:colOff>
      <xdr:row>34</xdr:row>
      <xdr:rowOff>124201</xdr:rowOff>
    </xdr:from>
    <xdr:to>
      <xdr:col>3</xdr:col>
      <xdr:colOff>424721</xdr:colOff>
      <xdr:row>48</xdr:row>
      <xdr:rowOff>12491</xdr:rowOff>
    </xdr:to>
    <mc:AlternateContent xmlns:mc="http://schemas.openxmlformats.org/markup-compatibility/2006" xmlns:a14="http://schemas.microsoft.com/office/drawing/2010/main">
      <mc:Choice Requires="a14">
        <xdr:graphicFrame macro="">
          <xdr:nvGraphicFramePr>
            <xdr:cNvPr id="20" name="State">
              <a:extLst>
                <a:ext uri="{FF2B5EF4-FFF2-40B4-BE49-F238E27FC236}">
                  <a16:creationId xmlns:a16="http://schemas.microsoft.com/office/drawing/2014/main" id="{5FC13BAA-A940-BA80-B91B-D76A0C1B1F0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4918" y="6787966"/>
              <a:ext cx="2137568" cy="2398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244784</xdr:colOff>
      <xdr:row>14</xdr:row>
      <xdr:rowOff>159219</xdr:rowOff>
    </xdr:from>
    <xdr:to>
      <xdr:col>8</xdr:col>
      <xdr:colOff>370973</xdr:colOff>
      <xdr:row>20</xdr:row>
      <xdr:rowOff>20052</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F1707C8F-D823-0595-EF43-33FF0C6E22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82549" y="3117572"/>
              <a:ext cx="3189130" cy="936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253058</xdr:colOff>
      <xdr:row>20</xdr:row>
      <xdr:rowOff>33895</xdr:rowOff>
    </xdr:from>
    <xdr:to>
      <xdr:col>6</xdr:col>
      <xdr:colOff>102443</xdr:colOff>
      <xdr:row>29</xdr:row>
      <xdr:rowOff>140368</xdr:rowOff>
    </xdr:to>
    <mc:AlternateContent xmlns:mc="http://schemas.openxmlformats.org/markup-compatibility/2006" xmlns:a14="http://schemas.microsoft.com/office/drawing/2010/main">
      <mc:Choice Requires="a14">
        <xdr:graphicFrame macro="">
          <xdr:nvGraphicFramePr>
            <xdr:cNvPr id="31" name="PaymentMethod">
              <a:extLst>
                <a:ext uri="{FF2B5EF4-FFF2-40B4-BE49-F238E27FC236}">
                  <a16:creationId xmlns:a16="http://schemas.microsoft.com/office/drawing/2014/main" id="{08CAF97F-1B27-671E-21DA-F339F5BCD8BE}"/>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2090823" y="4068013"/>
              <a:ext cx="1687149" cy="1839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155907</xdr:colOff>
      <xdr:row>20</xdr:row>
      <xdr:rowOff>50029</xdr:rowOff>
    </xdr:from>
    <xdr:to>
      <xdr:col>8</xdr:col>
      <xdr:colOff>386522</xdr:colOff>
      <xdr:row>30</xdr:row>
      <xdr:rowOff>36286</xdr:rowOff>
    </xdr:to>
    <mc:AlternateContent xmlns:mc="http://schemas.openxmlformats.org/markup-compatibility/2006" xmlns:a14="http://schemas.microsoft.com/office/drawing/2010/main">
      <mc:Choice Requires="a14">
        <xdr:graphicFrame macro="">
          <xdr:nvGraphicFramePr>
            <xdr:cNvPr id="32" name="SalesPerson">
              <a:extLst>
                <a:ext uri="{FF2B5EF4-FFF2-40B4-BE49-F238E27FC236}">
                  <a16:creationId xmlns:a16="http://schemas.microsoft.com/office/drawing/2014/main" id="{F546C9C6-89A1-1CAE-584D-52CFFABD0E46}"/>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3831436" y="4084147"/>
              <a:ext cx="1455792" cy="1898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32425</xdr:colOff>
      <xdr:row>15</xdr:row>
      <xdr:rowOff>64850</xdr:rowOff>
    </xdr:from>
    <xdr:to>
      <xdr:col>25</xdr:col>
      <xdr:colOff>298824</xdr:colOff>
      <xdr:row>30</xdr:row>
      <xdr:rowOff>48637</xdr:rowOff>
    </xdr:to>
    <xdr:graphicFrame macro="">
      <xdr:nvGraphicFramePr>
        <xdr:cNvPr id="3" name="Chart 2">
          <a:extLst>
            <a:ext uri="{FF2B5EF4-FFF2-40B4-BE49-F238E27FC236}">
              <a16:creationId xmlns:a16="http://schemas.microsoft.com/office/drawing/2014/main" id="{69C46D20-60EA-4E06-811B-6456A4726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 refreshedDate="46234.706132407409" createdVersion="8" refreshedVersion="8" minRefreshableVersion="3" recordCount="500" xr:uid="{193890FF-4DD2-478A-9F87-DE6146823F6D}">
  <cacheSource type="worksheet">
    <worksheetSource ref="A1:S501" sheet="Table1"/>
  </cacheSource>
  <cacheFields count="21">
    <cacheField name="Column1" numFmtId="0">
      <sharedItems containsSemiMixedTypes="0" containsString="0" containsNumber="1" containsInteger="1" minValue="10001" maxValue="10500"/>
    </cacheField>
    <cacheField name="CustomerName" numFmtId="0">
      <sharedItems/>
    </cacheField>
    <cacheField name="Email" numFmtId="0">
      <sharedItems/>
    </cacheField>
    <cacheField name="Phone2" numFmtId="0">
      <sharedItems containsMixedTypes="1" containsNumber="1" containsInteger="1" minValue="9100119185" maxValue="9999973191"/>
    </cacheField>
    <cacheField name="City" numFmtId="0">
      <sharedItems count="12">
        <s v="Nagpur"/>
        <s v="Bengaluru"/>
        <s v="Lucknow"/>
        <s v="Pune"/>
        <s v="Ahmedabad"/>
        <s v="Chennai"/>
        <s v="Kolkata"/>
        <s v="Delhi"/>
        <s v="Hyderabad"/>
        <s v="Surat"/>
        <s v="Jaipur"/>
        <s v="Mumbai"/>
      </sharedItems>
    </cacheField>
    <cacheField name="State" numFmtId="0">
      <sharedItems count="9">
        <s v="Maharashtra"/>
        <s v="Karnataka"/>
        <s v="Uttar Pradesh"/>
        <s v="Gujarat"/>
        <s v="Tamil Nadu"/>
        <s v="West Bengal"/>
        <s v="Delhi"/>
        <s v="Telangana"/>
        <s v="Rajasthan"/>
      </sharedItems>
    </cacheField>
    <cacheField name="Product" numFmtId="0">
      <sharedItems count="15">
        <s v="T-Shirt"/>
        <s v="Notebook"/>
        <s v="Kurta"/>
        <s v="Novel"/>
        <s v="Pen Set"/>
        <s v="Laptop"/>
        <s v="Sneakers"/>
        <s v="Smartwatch"/>
        <s v="Smartphone"/>
        <s v="Face Cream"/>
        <s v="Sandals"/>
        <s v="Tablet"/>
        <s v="Shampoo"/>
        <s v="Headphones"/>
        <s v="Jeans"/>
      </sharedItems>
    </cacheField>
    <cacheField name="Category" numFmtId="0">
      <sharedItems count="6">
        <s v="Clothing"/>
        <s v="Stationery"/>
        <s v="Books"/>
        <s v="Electronics"/>
        <s v="Footwear"/>
        <s v="Beauty"/>
      </sharedItems>
    </cacheField>
    <cacheField name="Qty" numFmtId="0">
      <sharedItems containsSemiMixedTypes="0" containsString="0" containsNumber="1" containsInteger="1" minValue="1" maxValue="5"/>
    </cacheField>
    <cacheField name="UnitPrice" numFmtId="0">
      <sharedItems containsSemiMixedTypes="0" containsString="0" containsNumber="1" containsInteger="1" minValue="49" maxValue="64886"/>
    </cacheField>
    <cacheField name="Discount%" numFmtId="0">
      <sharedItems containsSemiMixedTypes="0" containsString="0" containsNumber="1" containsInteger="1" minValue="0" maxValue="20"/>
    </cacheField>
    <cacheField name="OrderDate" numFmtId="14">
      <sharedItems containsSemiMixedTypes="0" containsNonDate="0" containsDate="1" containsString="0" minDate="2024-01-02T00:00:00" maxDate="2025-01-01T00:00:00" count="275">
        <d v="2024-05-21T00:00:00"/>
        <d v="2024-10-08T00:00:00"/>
        <d v="2024-10-26T00:00:00"/>
        <d v="2024-12-26T00:00:00"/>
        <d v="2024-11-06T00:00:00"/>
        <d v="2024-10-21T00:00:00"/>
        <d v="2024-01-12T00:00:00"/>
        <d v="2024-10-30T00:00:00"/>
        <d v="2024-09-22T00:00:00"/>
        <d v="2024-10-13T00:00:00"/>
        <d v="2024-09-02T00:00:00"/>
        <d v="2024-05-08T00:00:00"/>
        <d v="2024-05-20T00:00:00"/>
        <d v="2024-11-25T00:00:00"/>
        <d v="2024-08-04T00:00:00"/>
        <d v="2024-04-23T00:00:00"/>
        <d v="2024-12-16T00:00:00"/>
        <d v="2024-01-11T00:00:00"/>
        <d v="2024-07-22T00:00:00"/>
        <d v="2024-05-11T00:00:00"/>
        <d v="2024-07-20T00:00:00"/>
        <d v="2024-07-01T00:00:00"/>
        <d v="2024-08-06T00:00:00"/>
        <d v="2024-05-19T00:00:00"/>
        <d v="2024-08-22T00:00:00"/>
        <d v="2024-09-04T00:00:00"/>
        <d v="2024-12-03T00:00:00"/>
        <d v="2024-12-25T00:00:00"/>
        <d v="2024-07-02T00:00:00"/>
        <d v="2024-02-04T00:00:00"/>
        <d v="2024-04-09T00:00:00"/>
        <d v="2024-11-02T00:00:00"/>
        <d v="2024-07-14T00:00:00"/>
        <d v="2024-07-29T00:00:00"/>
        <d v="2024-06-07T00:00:00"/>
        <d v="2024-03-25T00:00:00"/>
        <d v="2024-04-18T00:00:00"/>
        <d v="2024-07-03T00:00:00"/>
        <d v="2024-03-06T00:00:00"/>
        <d v="2024-06-03T00:00:00"/>
        <d v="2024-10-23T00:00:00"/>
        <d v="2024-07-27T00:00:00"/>
        <d v="2024-03-28T00:00:00"/>
        <d v="2024-06-17T00:00:00"/>
        <d v="2024-08-25T00:00:00"/>
        <d v="2024-12-29T00:00:00"/>
        <d v="2024-09-25T00:00:00"/>
        <d v="2024-08-08T00:00:00"/>
        <d v="2024-05-07T00:00:00"/>
        <d v="2024-05-30T00:00:00"/>
        <d v="2024-06-24T00:00:00"/>
        <d v="2024-11-01T00:00:00"/>
        <d v="2024-05-06T00:00:00"/>
        <d v="2024-02-26T00:00:00"/>
        <d v="2024-08-18T00:00:00"/>
        <d v="2024-12-20T00:00:00"/>
        <d v="2024-12-24T00:00:00"/>
        <d v="2024-03-18T00:00:00"/>
        <d v="2024-10-16T00:00:00"/>
        <d v="2024-01-20T00:00:00"/>
        <d v="2024-11-23T00:00:00"/>
        <d v="2024-07-16T00:00:00"/>
        <d v="2024-06-10T00:00:00"/>
        <d v="2024-12-07T00:00:00"/>
        <d v="2024-08-11T00:00:00"/>
        <d v="2024-04-30T00:00:00"/>
        <d v="2024-05-17T00:00:00"/>
        <d v="2024-03-19T00:00:00"/>
        <d v="2024-03-16T00:00:00"/>
        <d v="2024-04-26T00:00:00"/>
        <d v="2024-03-10T00:00:00"/>
        <d v="2024-03-04T00:00:00"/>
        <d v="2024-01-24T00:00:00"/>
        <d v="2024-12-08T00:00:00"/>
        <d v="2024-07-21T00:00:00"/>
        <d v="2024-10-15T00:00:00"/>
        <d v="2024-06-20T00:00:00"/>
        <d v="2024-12-10T00:00:00"/>
        <d v="2024-09-10T00:00:00"/>
        <d v="2024-02-07T00:00:00"/>
        <d v="2024-12-13T00:00:00"/>
        <d v="2024-03-17T00:00:00"/>
        <d v="2024-06-29T00:00:00"/>
        <d v="2024-11-26T00:00:00"/>
        <d v="2024-10-07T00:00:00"/>
        <d v="2024-04-29T00:00:00"/>
        <d v="2024-07-05T00:00:00"/>
        <d v="2024-11-30T00:00:00"/>
        <d v="2024-10-18T00:00:00"/>
        <d v="2024-07-24T00:00:00"/>
        <d v="2024-01-15T00:00:00"/>
        <d v="2024-09-06T00:00:00"/>
        <d v="2024-01-14T00:00:00"/>
        <d v="2024-02-28T00:00:00"/>
        <d v="2024-02-01T00:00:00"/>
        <d v="2024-03-07T00:00:00"/>
        <d v="2024-06-30T00:00:00"/>
        <d v="2024-03-09T00:00:00"/>
        <d v="2024-01-19T00:00:00"/>
        <d v="2024-12-31T00:00:00"/>
        <d v="2024-11-11T00:00:00"/>
        <d v="2024-09-15T00:00:00"/>
        <d v="2024-05-03T00:00:00"/>
        <d v="2024-07-07T00:00:00"/>
        <d v="2024-03-13T00:00:00"/>
        <d v="2024-05-01T00:00:00"/>
        <d v="2024-01-18T00:00:00"/>
        <d v="2024-08-24T00:00:00"/>
        <d v="2024-04-15T00:00:00"/>
        <d v="2024-01-21T00:00:00"/>
        <d v="2024-04-02T00:00:00"/>
        <d v="2024-09-14T00:00:00"/>
        <d v="2024-03-20T00:00:00"/>
        <d v="2024-03-31T00:00:00"/>
        <d v="2024-08-02T00:00:00"/>
        <d v="2024-07-09T00:00:00"/>
        <d v="2024-10-09T00:00:00"/>
        <d v="2024-11-05T00:00:00"/>
        <d v="2024-01-04T00:00:00"/>
        <d v="2024-06-08T00:00:00"/>
        <d v="2024-07-18T00:00:00"/>
        <d v="2024-05-05T00:00:00"/>
        <d v="2024-10-03T00:00:00"/>
        <d v="2024-02-16T00:00:00"/>
        <d v="2024-06-22T00:00:00"/>
        <d v="2024-07-08T00:00:00"/>
        <d v="2024-03-29T00:00:00"/>
        <d v="2024-12-04T00:00:00"/>
        <d v="2024-02-21T00:00:00"/>
        <d v="2024-10-04T00:00:00"/>
        <d v="2024-10-10T00:00:00"/>
        <d v="2024-08-28T00:00:00"/>
        <d v="2024-10-06T00:00:00"/>
        <d v="2024-02-29T00:00:00"/>
        <d v="2024-09-03T00:00:00"/>
        <d v="2024-05-27T00:00:00"/>
        <d v="2024-11-21T00:00:00"/>
        <d v="2024-12-19T00:00:00"/>
        <d v="2024-08-15T00:00:00"/>
        <d v="2024-02-15T00:00:00"/>
        <d v="2024-08-01T00:00:00"/>
        <d v="2024-01-31T00:00:00"/>
        <d v="2024-06-11T00:00:00"/>
        <d v="2024-07-13T00:00:00"/>
        <d v="2024-05-09T00:00:00"/>
        <d v="2024-02-17T00:00:00"/>
        <d v="2024-08-21T00:00:00"/>
        <d v="2024-11-22T00:00:00"/>
        <d v="2024-01-30T00:00:00"/>
        <d v="2024-11-04T00:00:00"/>
        <d v="2024-08-16T00:00:00"/>
        <d v="2024-08-29T00:00:00"/>
        <d v="2024-04-17T00:00:00"/>
        <d v="2024-12-23T00:00:00"/>
        <d v="2024-10-02T00:00:00"/>
        <d v="2024-02-03T00:00:00"/>
        <d v="2024-09-29T00:00:00"/>
        <d v="2024-03-30T00:00:00"/>
        <d v="2024-01-28T00:00:00"/>
        <d v="2024-01-10T00:00:00"/>
        <d v="2024-04-03T00:00:00"/>
        <d v="2024-04-25T00:00:00"/>
        <d v="2024-01-23T00:00:00"/>
        <d v="2024-03-26T00:00:00"/>
        <d v="2024-12-22T00:00:00"/>
        <d v="2024-11-16T00:00:00"/>
        <d v="2024-05-18T00:00:00"/>
        <d v="2024-04-01T00:00:00"/>
        <d v="2024-04-16T00:00:00"/>
        <d v="2024-02-05T00:00:00"/>
        <d v="2024-02-13T00:00:00"/>
        <d v="2024-09-16T00:00:00"/>
        <d v="2024-04-11T00:00:00"/>
        <d v="2024-01-27T00:00:00"/>
        <d v="2024-06-01T00:00:00"/>
        <d v="2024-06-15T00:00:00"/>
        <d v="2024-01-22T00:00:00"/>
        <d v="2024-03-15T00:00:00"/>
        <d v="2024-06-21T00:00:00"/>
        <d v="2024-02-24T00:00:00"/>
        <d v="2024-01-26T00:00:00"/>
        <d v="2024-02-08T00:00:00"/>
        <d v="2024-12-06T00:00:00"/>
        <d v="2024-02-06T00:00:00"/>
        <d v="2024-08-13T00:00:00"/>
        <d v="2024-11-28T00:00:00"/>
        <d v="2024-11-03T00:00:00"/>
        <d v="2024-07-06T00:00:00"/>
        <d v="2024-09-13T00:00:00"/>
        <d v="2024-04-20T00:00:00"/>
        <d v="2024-04-13T00:00:00"/>
        <d v="2024-11-07T00:00:00"/>
        <d v="2024-02-11T00:00:00"/>
        <d v="2024-11-12T00:00:00"/>
        <d v="2024-09-17T00:00:00"/>
        <d v="2024-11-14T00:00:00"/>
        <d v="2024-12-18T00:00:00"/>
        <d v="2024-05-10T00:00:00"/>
        <d v="2024-05-28T00:00:00"/>
        <d v="2024-05-24T00:00:00"/>
        <d v="2024-07-04T00:00:00"/>
        <d v="2024-06-02T00:00:00"/>
        <d v="2024-02-12T00:00:00"/>
        <d v="2024-05-04T00:00:00"/>
        <d v="2024-06-12T00:00:00"/>
        <d v="2024-03-05T00:00:00"/>
        <d v="2024-03-11T00:00:00"/>
        <d v="2024-06-23T00:00:00"/>
        <d v="2024-09-24T00:00:00"/>
        <d v="2024-05-29T00:00:00"/>
        <d v="2024-04-22T00:00:00"/>
        <d v="2024-06-16T00:00:00"/>
        <d v="2024-09-18T00:00:00"/>
        <d v="2024-01-05T00:00:00"/>
        <d v="2024-06-19T00:00:00"/>
        <d v="2024-11-09T00:00:00"/>
        <d v="2024-08-07T00:00:00"/>
        <d v="2024-11-24T00:00:00"/>
        <d v="2024-12-14T00:00:00"/>
        <d v="2024-05-14T00:00:00"/>
        <d v="2024-04-10T00:00:00"/>
        <d v="2024-06-06T00:00:00"/>
        <d v="2024-10-20T00:00:00"/>
        <d v="2024-09-26T00:00:00"/>
        <d v="2024-08-10T00:00:00"/>
        <d v="2024-06-25T00:00:00"/>
        <d v="2024-06-27T00:00:00"/>
        <d v="2024-01-07T00:00:00"/>
        <d v="2024-08-12T00:00:00"/>
        <d v="2024-05-22T00:00:00"/>
        <d v="2024-09-19T00:00:00"/>
        <d v="2024-08-31T00:00:00"/>
        <d v="2024-04-05T00:00:00"/>
        <d v="2024-01-03T00:00:00"/>
        <d v="2024-04-14T00:00:00"/>
        <d v="2024-10-31T00:00:00"/>
        <d v="2024-03-08T00:00:00"/>
        <d v="2024-04-24T00:00:00"/>
        <d v="2024-10-05T00:00:00"/>
        <d v="2024-04-07T00:00:00"/>
        <d v="2024-09-28T00:00:00"/>
        <d v="2024-06-13T00:00:00"/>
        <d v="2024-01-02T00:00:00"/>
        <d v="2024-02-18T00:00:00"/>
        <d v="2024-07-28T00:00:00"/>
        <d v="2024-09-27T00:00:00"/>
        <d v="2024-03-12T00:00:00"/>
        <d v="2024-09-20T00:00:00"/>
        <d v="2024-07-26T00:00:00"/>
        <d v="2024-02-25T00:00:00"/>
        <d v="2024-10-19T00:00:00"/>
        <d v="2024-05-12T00:00:00"/>
        <d v="2024-07-30T00:00:00"/>
        <d v="2024-12-17T00:00:00"/>
        <d v="2024-10-12T00:00:00"/>
        <d v="2024-11-13T00:00:00"/>
        <d v="2024-12-15T00:00:00"/>
        <d v="2024-04-06T00:00:00"/>
        <d v="2024-12-12T00:00:00"/>
        <d v="2024-03-23T00:00:00"/>
        <d v="2024-04-08T00:00:00"/>
        <d v="2024-09-23T00:00:00"/>
        <d v="2024-04-19T00:00:00"/>
        <d v="2024-08-20T00:00:00"/>
        <d v="2024-03-21T00:00:00"/>
        <d v="2024-04-21T00:00:00"/>
        <d v="2024-04-27T00:00:00"/>
        <d v="2024-07-11T00:00:00"/>
        <d v="2024-08-19T00:00:00"/>
        <d v="2024-05-13T00:00:00"/>
        <d v="2024-03-27T00:00:00"/>
        <d v="2024-12-02T00:00:00"/>
        <d v="2024-10-14T00:00:00"/>
        <d v="2024-01-13T00:00:00"/>
        <d v="2024-07-31T00:00:00"/>
      </sharedItems>
      <fieldGroup par="20"/>
    </cacheField>
    <cacheField name="PaymentMethod" numFmtId="0">
      <sharedItems count="5">
        <s v="Debit Card"/>
        <s v="Credit Card"/>
        <s v="Net Banking"/>
        <s v="Upi"/>
        <s v="Cash On Delivery"/>
      </sharedItems>
    </cacheField>
    <cacheField name="DeliveryStatus" numFmtId="0">
      <sharedItems count="3">
        <s v="Delivered"/>
        <s v="Pending"/>
        <s v="Cancelled"/>
      </sharedItems>
    </cacheField>
    <cacheField name="SalesPerson" numFmtId="0">
      <sharedItems count="6">
        <s v="Umknowm"/>
        <s v="Suresh"/>
        <s v="Amit"/>
        <s v="Kavita"/>
        <s v="Rohit"/>
        <s v="Neha"/>
      </sharedItems>
    </cacheField>
    <cacheField name="Rating" numFmtId="0">
      <sharedItems containsMixedTypes="1" containsNumber="1" containsInteger="1" minValue="1" maxValue="5" count="6">
        <n v="5"/>
        <s v="Not Rated"/>
        <n v="2"/>
        <n v="3"/>
        <n v="4"/>
        <n v="1"/>
      </sharedItems>
    </cacheField>
    <cacheField name="Total Price" numFmtId="0">
      <sharedItems containsSemiMixedTypes="0" containsString="0" containsNumber="1" containsInteger="1" minValue="98" maxValue="324430"/>
    </cacheField>
    <cacheField name="Total Discount" numFmtId="0">
      <sharedItems containsSemiMixedTypes="0" containsString="0" containsNumber="1" minValue="0" maxValue="37675.5"/>
    </cacheField>
    <cacheField name="Final Price" numFmtId="0">
      <sharedItems containsSemiMixedTypes="0" containsString="0" containsNumber="1" minValue="98" maxValue="324430"/>
    </cacheField>
    <cacheField name="Days (OrderDate)" numFmtId="0" databaseField="0">
      <fieldGroup base="11">
        <rangePr groupBy="days" startDate="2024-01-02T00:00:00" endDate="2025-01-01T00:00:00"/>
        <groupItems count="368">
          <s v="&lt;02-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OrderDate)" numFmtId="0" databaseField="0">
      <fieldGroup base="11">
        <rangePr groupBy="months" startDate="2024-01-02T00:00:00" endDate="2025-01-01T00:00:00"/>
        <groupItems count="14">
          <s v="&lt;02-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25624554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195"/>
    <s v="Divya Gupta"/>
    <s v="divya.gupta@gamil.com"/>
    <n v="9101325416"/>
    <x v="0"/>
    <x v="0"/>
    <x v="0"/>
    <x v="0"/>
    <n v="5"/>
    <n v="890"/>
    <n v="5"/>
    <x v="0"/>
    <x v="0"/>
    <x v="0"/>
    <x v="0"/>
    <x v="0"/>
    <n v="4450"/>
    <n v="222.5"/>
    <n v="4227.5"/>
  </r>
  <r>
    <n v="10245"/>
    <s v="Ritu Verma"/>
    <s v="ritu.verma@gamil.com"/>
    <n v="9767283756"/>
    <x v="1"/>
    <x v="1"/>
    <x v="0"/>
    <x v="0"/>
    <n v="4"/>
    <n v="1233"/>
    <n v="0"/>
    <x v="1"/>
    <x v="1"/>
    <x v="0"/>
    <x v="1"/>
    <x v="1"/>
    <n v="4932"/>
    <n v="0"/>
    <n v="4932"/>
  </r>
  <r>
    <n v="10459"/>
    <s v="Anita Rao"/>
    <s v="anita.rao@gmail.com"/>
    <s v="Invalid"/>
    <x v="2"/>
    <x v="2"/>
    <x v="1"/>
    <x v="1"/>
    <n v="5"/>
    <n v="143"/>
    <n v="20"/>
    <x v="2"/>
    <x v="2"/>
    <x v="1"/>
    <x v="2"/>
    <x v="2"/>
    <n v="715"/>
    <n v="143"/>
    <n v="572"/>
  </r>
  <r>
    <n v="10125"/>
    <s v="Rahul Malhotra"/>
    <s v="rahul.malhotra@gmail.com"/>
    <s v="Invalid"/>
    <x v="0"/>
    <x v="0"/>
    <x v="2"/>
    <x v="0"/>
    <n v="3"/>
    <n v="1842"/>
    <n v="5"/>
    <x v="3"/>
    <x v="0"/>
    <x v="0"/>
    <x v="3"/>
    <x v="3"/>
    <n v="5526"/>
    <n v="276.3"/>
    <n v="5249.7"/>
  </r>
  <r>
    <n v="10378"/>
    <s v="Meena Shah"/>
    <s v="meena.shah@gamil.com"/>
    <n v="9554584161"/>
    <x v="3"/>
    <x v="0"/>
    <x v="3"/>
    <x v="2"/>
    <n v="1"/>
    <n v="620"/>
    <n v="15"/>
    <x v="4"/>
    <x v="2"/>
    <x v="0"/>
    <x v="0"/>
    <x v="1"/>
    <n v="620"/>
    <n v="93"/>
    <n v="527"/>
  </r>
  <r>
    <n v="10370"/>
    <s v="Ajay Mehta"/>
    <s v="ajay.mehta@gamil.com"/>
    <n v="9140181331"/>
    <x v="4"/>
    <x v="3"/>
    <x v="4"/>
    <x v="1"/>
    <n v="3"/>
    <n v="367"/>
    <n v="0"/>
    <x v="5"/>
    <x v="1"/>
    <x v="0"/>
    <x v="4"/>
    <x v="4"/>
    <n v="1101"/>
    <n v="0"/>
    <n v="1101"/>
  </r>
  <r>
    <n v="10128"/>
    <s v="Amit Malhotra"/>
    <s v="N/A"/>
    <n v="9403547922"/>
    <x v="5"/>
    <x v="4"/>
    <x v="4"/>
    <x v="1"/>
    <n v="3"/>
    <n v="115"/>
    <n v="5"/>
    <x v="6"/>
    <x v="3"/>
    <x v="0"/>
    <x v="3"/>
    <x v="3"/>
    <n v="345"/>
    <n v="17.25"/>
    <n v="327.75"/>
  </r>
  <r>
    <n v="10091"/>
    <s v="Ajay Agarwal"/>
    <s v="ajay.agarwal@gamil.com"/>
    <n v="9730747101"/>
    <x v="3"/>
    <x v="0"/>
    <x v="5"/>
    <x v="3"/>
    <n v="3"/>
    <n v="46309"/>
    <n v="15"/>
    <x v="7"/>
    <x v="2"/>
    <x v="0"/>
    <x v="3"/>
    <x v="4"/>
    <n v="138927"/>
    <n v="20839.05"/>
    <n v="118087.95"/>
  </r>
  <r>
    <n v="10026"/>
    <s v="Sneha Malhotra"/>
    <s v="sneha.malhotra@gamil.com"/>
    <n v="9731328331"/>
    <x v="1"/>
    <x v="1"/>
    <x v="6"/>
    <x v="4"/>
    <n v="5"/>
    <n v="3157"/>
    <n v="0"/>
    <x v="8"/>
    <x v="4"/>
    <x v="0"/>
    <x v="4"/>
    <x v="4"/>
    <n v="15785"/>
    <n v="0"/>
    <n v="15785"/>
  </r>
  <r>
    <n v="10341"/>
    <s v="Sneha Malhotra"/>
    <s v="sneha.malhotra@gamil.com"/>
    <n v="9953802889"/>
    <x v="6"/>
    <x v="5"/>
    <x v="6"/>
    <x v="4"/>
    <n v="5"/>
    <n v="4232"/>
    <n v="0"/>
    <x v="9"/>
    <x v="4"/>
    <x v="0"/>
    <x v="1"/>
    <x v="4"/>
    <n v="21160"/>
    <n v="0"/>
    <n v="21160"/>
  </r>
  <r>
    <n v="10295"/>
    <s v="Sneha Malhotra"/>
    <s v="sneha.malhotra@gamil.com"/>
    <n v="9806142559"/>
    <x v="5"/>
    <x v="4"/>
    <x v="7"/>
    <x v="3"/>
    <n v="4"/>
    <n v="12020"/>
    <n v="0"/>
    <x v="10"/>
    <x v="0"/>
    <x v="1"/>
    <x v="0"/>
    <x v="0"/>
    <n v="48080"/>
    <n v="0"/>
    <n v="48080"/>
  </r>
  <r>
    <n v="10186"/>
    <s v="Divya Gupta"/>
    <s v="divya.gupta@gamil.com"/>
    <s v="Invalid"/>
    <x v="7"/>
    <x v="6"/>
    <x v="8"/>
    <x v="3"/>
    <n v="3"/>
    <n v="27207"/>
    <n v="20"/>
    <x v="11"/>
    <x v="3"/>
    <x v="0"/>
    <x v="3"/>
    <x v="2"/>
    <n v="81621"/>
    <n v="16324.2"/>
    <n v="65296.800000000003"/>
  </r>
  <r>
    <n v="10297"/>
    <s v="Sneha Chopra"/>
    <s v="sneha.chopra@gamil.com"/>
    <n v="9689748384"/>
    <x v="7"/>
    <x v="6"/>
    <x v="3"/>
    <x v="2"/>
    <n v="3"/>
    <n v="663"/>
    <n v="20"/>
    <x v="12"/>
    <x v="1"/>
    <x v="2"/>
    <x v="2"/>
    <x v="2"/>
    <n v="1989"/>
    <n v="397.8"/>
    <n v="1591.2"/>
  </r>
  <r>
    <n v="10145"/>
    <s v="Aarav Yadav"/>
    <s v="aarav.yadav@gamil.com"/>
    <n v="9948902661"/>
    <x v="1"/>
    <x v="1"/>
    <x v="1"/>
    <x v="1"/>
    <n v="4"/>
    <n v="132"/>
    <n v="20"/>
    <x v="13"/>
    <x v="4"/>
    <x v="0"/>
    <x v="4"/>
    <x v="1"/>
    <n v="528"/>
    <n v="105.6"/>
    <n v="422.4"/>
  </r>
  <r>
    <n v="10016"/>
    <s v="Ajay Kapoor"/>
    <s v="ajay.kapoor@gamil.com"/>
    <n v="9778186934"/>
    <x v="0"/>
    <x v="0"/>
    <x v="6"/>
    <x v="4"/>
    <n v="4"/>
    <n v="2167"/>
    <n v="0"/>
    <x v="14"/>
    <x v="2"/>
    <x v="0"/>
    <x v="0"/>
    <x v="2"/>
    <n v="8668"/>
    <n v="0"/>
    <n v="8668"/>
  </r>
  <r>
    <n v="10216"/>
    <s v="Priya Mehta"/>
    <s v="priya.mehta@gamil.com"/>
    <n v="9294535427"/>
    <x v="3"/>
    <x v="0"/>
    <x v="2"/>
    <x v="0"/>
    <n v="5"/>
    <n v="1777"/>
    <n v="0"/>
    <x v="15"/>
    <x v="1"/>
    <x v="0"/>
    <x v="1"/>
    <x v="3"/>
    <n v="8885"/>
    <n v="0"/>
    <n v="8885"/>
  </r>
  <r>
    <n v="10497"/>
    <s v="Ajay Kapoor"/>
    <s v="ajay.kapoor@gamil.com"/>
    <n v="9491072948"/>
    <x v="8"/>
    <x v="7"/>
    <x v="9"/>
    <x v="5"/>
    <n v="1"/>
    <n v="862"/>
    <n v="15"/>
    <x v="16"/>
    <x v="0"/>
    <x v="0"/>
    <x v="2"/>
    <x v="3"/>
    <n v="862"/>
    <n v="129.30000000000001"/>
    <n v="732.7"/>
  </r>
  <r>
    <n v="10160"/>
    <s v="Priya Patel"/>
    <s v="priya.patel@gamil.com"/>
    <n v="9456646880"/>
    <x v="9"/>
    <x v="3"/>
    <x v="9"/>
    <x v="5"/>
    <n v="5"/>
    <n v="605"/>
    <n v="5"/>
    <x v="17"/>
    <x v="0"/>
    <x v="0"/>
    <x v="1"/>
    <x v="0"/>
    <n v="3025"/>
    <n v="151.25"/>
    <n v="2873.75"/>
  </r>
  <r>
    <n v="10414"/>
    <s v="Ajay Mehta"/>
    <s v="ajay.mehta@gamil.com"/>
    <s v="Invalid"/>
    <x v="6"/>
    <x v="5"/>
    <x v="10"/>
    <x v="4"/>
    <n v="5"/>
    <n v="1463"/>
    <n v="10"/>
    <x v="18"/>
    <x v="1"/>
    <x v="0"/>
    <x v="0"/>
    <x v="0"/>
    <n v="7315"/>
    <n v="731.5"/>
    <n v="6583.5"/>
  </r>
  <r>
    <n v="10420"/>
    <s v="Kavita Reddy"/>
    <s v="kavita.reddy@gmail.com"/>
    <n v="9314109677"/>
    <x v="4"/>
    <x v="3"/>
    <x v="11"/>
    <x v="3"/>
    <n v="5"/>
    <n v="21523"/>
    <n v="0"/>
    <x v="19"/>
    <x v="3"/>
    <x v="0"/>
    <x v="1"/>
    <x v="4"/>
    <n v="107615"/>
    <n v="0"/>
    <n v="107615"/>
  </r>
  <r>
    <n v="10174"/>
    <s v="Sneha Rao"/>
    <s v="sneha.rao@gamil.com"/>
    <n v="9181979427"/>
    <x v="8"/>
    <x v="7"/>
    <x v="12"/>
    <x v="5"/>
    <n v="4"/>
    <n v="185"/>
    <n v="15"/>
    <x v="20"/>
    <x v="2"/>
    <x v="0"/>
    <x v="0"/>
    <x v="0"/>
    <n v="740"/>
    <n v="111"/>
    <n v="629"/>
  </r>
  <r>
    <n v="10308"/>
    <s v="Sanjay Mehta"/>
    <s v="sanjay.mehta@gamil.com"/>
    <s v="Invalid"/>
    <x v="9"/>
    <x v="3"/>
    <x v="11"/>
    <x v="3"/>
    <n v="5"/>
    <n v="27113"/>
    <n v="0"/>
    <x v="21"/>
    <x v="3"/>
    <x v="0"/>
    <x v="5"/>
    <x v="1"/>
    <n v="135565"/>
    <n v="0"/>
    <n v="135565"/>
  </r>
  <r>
    <n v="10136"/>
    <s v="Ritu Agarwal"/>
    <s v="ritu.agarwal@gamil.com"/>
    <n v="9283702057"/>
    <x v="0"/>
    <x v="0"/>
    <x v="3"/>
    <x v="2"/>
    <n v="2"/>
    <n v="295"/>
    <n v="0"/>
    <x v="22"/>
    <x v="0"/>
    <x v="1"/>
    <x v="5"/>
    <x v="2"/>
    <n v="590"/>
    <n v="0"/>
    <n v="590"/>
  </r>
  <r>
    <n v="10059"/>
    <s v="Neha Mehta"/>
    <s v="neha.mehta@gamil.com"/>
    <n v="9642240985"/>
    <x v="5"/>
    <x v="4"/>
    <x v="0"/>
    <x v="0"/>
    <n v="2"/>
    <n v="857"/>
    <n v="20"/>
    <x v="23"/>
    <x v="2"/>
    <x v="1"/>
    <x v="1"/>
    <x v="4"/>
    <n v="1714"/>
    <n v="342.8"/>
    <n v="1371.2"/>
  </r>
  <r>
    <n v="10389"/>
    <s v="Pooja Yadav"/>
    <s v="pooja.yadav@gamil.com"/>
    <n v="9138192419"/>
    <x v="10"/>
    <x v="8"/>
    <x v="10"/>
    <x v="4"/>
    <n v="1"/>
    <n v="1010"/>
    <n v="10"/>
    <x v="24"/>
    <x v="0"/>
    <x v="2"/>
    <x v="3"/>
    <x v="2"/>
    <n v="1010"/>
    <n v="101"/>
    <n v="909"/>
  </r>
  <r>
    <n v="10447"/>
    <s v="Kavita Joshi"/>
    <s v="kavita.joshi@gamil.com"/>
    <n v="9562212838"/>
    <x v="10"/>
    <x v="8"/>
    <x v="4"/>
    <x v="1"/>
    <n v="2"/>
    <n v="208"/>
    <n v="0"/>
    <x v="25"/>
    <x v="0"/>
    <x v="0"/>
    <x v="1"/>
    <x v="3"/>
    <n v="416"/>
    <n v="0"/>
    <n v="416"/>
  </r>
  <r>
    <n v="10155"/>
    <s v="Deepak Gupta"/>
    <s v="N/A"/>
    <n v="9688902628"/>
    <x v="6"/>
    <x v="5"/>
    <x v="12"/>
    <x v="5"/>
    <n v="3"/>
    <n v="320"/>
    <n v="0"/>
    <x v="26"/>
    <x v="4"/>
    <x v="0"/>
    <x v="0"/>
    <x v="2"/>
    <n v="960"/>
    <n v="0"/>
    <n v="960"/>
  </r>
  <r>
    <n v="10184"/>
    <s v="Ajay Patel"/>
    <s v="ajay.patel@gamil.com"/>
    <n v="9907113623"/>
    <x v="6"/>
    <x v="5"/>
    <x v="6"/>
    <x v="4"/>
    <n v="2"/>
    <n v="4437"/>
    <n v="0"/>
    <x v="27"/>
    <x v="0"/>
    <x v="0"/>
    <x v="3"/>
    <x v="2"/>
    <n v="8874"/>
    <n v="0"/>
    <n v="8874"/>
  </r>
  <r>
    <n v="10067"/>
    <s v="Amit Iyer"/>
    <s v="amit.iyer@gamil.com"/>
    <s v="Invalid"/>
    <x v="10"/>
    <x v="8"/>
    <x v="6"/>
    <x v="4"/>
    <n v="2"/>
    <n v="4151"/>
    <n v="0"/>
    <x v="28"/>
    <x v="4"/>
    <x v="2"/>
    <x v="5"/>
    <x v="3"/>
    <n v="8302"/>
    <n v="0"/>
    <n v="8302"/>
  </r>
  <r>
    <n v="10474"/>
    <s v="Neha Chopra"/>
    <s v="neha.chopra@gamil.com"/>
    <n v="9154418793"/>
    <x v="4"/>
    <x v="3"/>
    <x v="8"/>
    <x v="3"/>
    <n v="3"/>
    <n v="18770"/>
    <n v="0"/>
    <x v="29"/>
    <x v="1"/>
    <x v="0"/>
    <x v="3"/>
    <x v="2"/>
    <n v="56310"/>
    <n v="0"/>
    <n v="56310"/>
  </r>
  <r>
    <n v="10258"/>
    <s v="Sanjay Reddy"/>
    <s v="sanjay.reddy@gamil.com"/>
    <n v="9776263723"/>
    <x v="9"/>
    <x v="3"/>
    <x v="2"/>
    <x v="0"/>
    <n v="4"/>
    <n v="823"/>
    <n v="10"/>
    <x v="30"/>
    <x v="3"/>
    <x v="2"/>
    <x v="5"/>
    <x v="0"/>
    <n v="3292"/>
    <n v="329.2"/>
    <n v="2962.8"/>
  </r>
  <r>
    <n v="10219"/>
    <s v="Pooja Verma"/>
    <s v="pooja.verma@gamil.com"/>
    <n v="9177931584"/>
    <x v="10"/>
    <x v="8"/>
    <x v="13"/>
    <x v="3"/>
    <n v="3"/>
    <n v="4447"/>
    <n v="10"/>
    <x v="31"/>
    <x v="4"/>
    <x v="0"/>
    <x v="1"/>
    <x v="1"/>
    <n v="13341"/>
    <n v="1334.1"/>
    <n v="12006.9"/>
  </r>
  <r>
    <n v="10396"/>
    <s v="Suresh Reddy"/>
    <s v="suresh.reddy@gmail.com"/>
    <n v="9617251765"/>
    <x v="4"/>
    <x v="3"/>
    <x v="3"/>
    <x v="2"/>
    <n v="4"/>
    <n v="304"/>
    <n v="20"/>
    <x v="32"/>
    <x v="1"/>
    <x v="1"/>
    <x v="3"/>
    <x v="0"/>
    <n v="1216"/>
    <n v="243.2"/>
    <n v="972.8"/>
  </r>
  <r>
    <n v="10061"/>
    <s v="Anita Verma"/>
    <s v="anita.verma@gamil.com"/>
    <n v="9622209653"/>
    <x v="3"/>
    <x v="0"/>
    <x v="11"/>
    <x v="3"/>
    <n v="3"/>
    <n v="18899"/>
    <n v="0"/>
    <x v="33"/>
    <x v="0"/>
    <x v="0"/>
    <x v="4"/>
    <x v="0"/>
    <n v="56697"/>
    <n v="0"/>
    <n v="56697"/>
  </r>
  <r>
    <n v="10078"/>
    <s v="Amit Agarwal"/>
    <s v="amit.agarwal@gamil.com"/>
    <n v="9144471883"/>
    <x v="8"/>
    <x v="7"/>
    <x v="1"/>
    <x v="1"/>
    <n v="2"/>
    <n v="135"/>
    <n v="20"/>
    <x v="34"/>
    <x v="3"/>
    <x v="0"/>
    <x v="4"/>
    <x v="1"/>
    <n v="270"/>
    <n v="54"/>
    <n v="216"/>
  </r>
  <r>
    <n v="10284"/>
    <s v="Meena Kapoor"/>
    <s v="meena.kapoor@gamil.com"/>
    <n v="9205409416"/>
    <x v="11"/>
    <x v="0"/>
    <x v="2"/>
    <x v="0"/>
    <n v="3"/>
    <n v="1520"/>
    <n v="5"/>
    <x v="35"/>
    <x v="1"/>
    <x v="0"/>
    <x v="4"/>
    <x v="3"/>
    <n v="4560"/>
    <n v="228"/>
    <n v="4332"/>
  </r>
  <r>
    <n v="10224"/>
    <s v="Vikram Agarwal"/>
    <s v="vikram.agarwal@gamil.com"/>
    <n v="9691446936"/>
    <x v="8"/>
    <x v="7"/>
    <x v="14"/>
    <x v="0"/>
    <n v="2"/>
    <n v="1095"/>
    <n v="15"/>
    <x v="36"/>
    <x v="3"/>
    <x v="0"/>
    <x v="5"/>
    <x v="5"/>
    <n v="2190"/>
    <n v="328.5"/>
    <n v="1861.5"/>
  </r>
  <r>
    <n v="10086"/>
    <s v="Neha Shah"/>
    <s v="neha.shah@gamil.com"/>
    <n v="9827600341"/>
    <x v="3"/>
    <x v="0"/>
    <x v="5"/>
    <x v="3"/>
    <n v="5"/>
    <n v="46377"/>
    <n v="0"/>
    <x v="33"/>
    <x v="3"/>
    <x v="0"/>
    <x v="3"/>
    <x v="3"/>
    <n v="231885"/>
    <n v="0"/>
    <n v="231885"/>
  </r>
  <r>
    <n v="10027"/>
    <s v="Sneha Malhotra"/>
    <s v="sneha.malhotra@gamil.com"/>
    <n v="9173384619"/>
    <x v="10"/>
    <x v="8"/>
    <x v="6"/>
    <x v="4"/>
    <n v="3"/>
    <n v="4571"/>
    <n v="0"/>
    <x v="37"/>
    <x v="2"/>
    <x v="0"/>
    <x v="4"/>
    <x v="1"/>
    <n v="13713"/>
    <n v="0"/>
    <n v="13713"/>
  </r>
  <r>
    <n v="10283"/>
    <s v="Vikram Agarwal"/>
    <s v="vikram.agarwal@gamil.com"/>
    <n v="9660220966"/>
    <x v="0"/>
    <x v="0"/>
    <x v="3"/>
    <x v="2"/>
    <n v="1"/>
    <n v="529"/>
    <n v="15"/>
    <x v="38"/>
    <x v="4"/>
    <x v="0"/>
    <x v="2"/>
    <x v="4"/>
    <n v="529"/>
    <n v="79.349999999999994"/>
    <n v="449.65"/>
  </r>
  <r>
    <n v="10214"/>
    <s v="Rohit Patel"/>
    <s v="rohit.patel@gmail.com"/>
    <n v="9324645751"/>
    <x v="8"/>
    <x v="7"/>
    <x v="1"/>
    <x v="1"/>
    <n v="5"/>
    <n v="193"/>
    <n v="20"/>
    <x v="39"/>
    <x v="0"/>
    <x v="0"/>
    <x v="5"/>
    <x v="5"/>
    <n v="965"/>
    <n v="193"/>
    <n v="772"/>
  </r>
  <r>
    <n v="10189"/>
    <s v="Deepak Malhotra"/>
    <s v="deepak.malhotra@gamil.com"/>
    <n v="9526300333"/>
    <x v="9"/>
    <x v="3"/>
    <x v="10"/>
    <x v="4"/>
    <n v="3"/>
    <n v="1362"/>
    <n v="0"/>
    <x v="40"/>
    <x v="2"/>
    <x v="0"/>
    <x v="3"/>
    <x v="0"/>
    <n v="4086"/>
    <n v="0"/>
    <n v="4086"/>
  </r>
  <r>
    <n v="10383"/>
    <s v="Meena Kapoor"/>
    <s v="meena.kapoor@gamil.com"/>
    <n v="9135832556"/>
    <x v="10"/>
    <x v="8"/>
    <x v="7"/>
    <x v="3"/>
    <n v="1"/>
    <n v="10454"/>
    <n v="0"/>
    <x v="41"/>
    <x v="2"/>
    <x v="0"/>
    <x v="1"/>
    <x v="4"/>
    <n v="10454"/>
    <n v="0"/>
    <n v="10454"/>
  </r>
  <r>
    <n v="10204"/>
    <s v="Swati Yadav"/>
    <s v="swati.yadav@gamil.com"/>
    <n v="9353611362"/>
    <x v="11"/>
    <x v="0"/>
    <x v="3"/>
    <x v="2"/>
    <n v="1"/>
    <n v="296"/>
    <n v="20"/>
    <x v="42"/>
    <x v="1"/>
    <x v="0"/>
    <x v="5"/>
    <x v="2"/>
    <n v="296"/>
    <n v="59.2"/>
    <n v="236.8"/>
  </r>
  <r>
    <n v="10238"/>
    <s v="Priya Mehta"/>
    <s v="priya.mehta@gamil.com"/>
    <n v="9818147934"/>
    <x v="4"/>
    <x v="3"/>
    <x v="14"/>
    <x v="0"/>
    <n v="3"/>
    <n v="1886"/>
    <n v="10"/>
    <x v="42"/>
    <x v="3"/>
    <x v="0"/>
    <x v="1"/>
    <x v="3"/>
    <n v="5658"/>
    <n v="565.79999999999995"/>
    <n v="5092.2"/>
  </r>
  <r>
    <n v="10077"/>
    <s v="Suresh Shah"/>
    <s v="suresh.shah@gamil.com"/>
    <n v="9316275430"/>
    <x v="7"/>
    <x v="6"/>
    <x v="3"/>
    <x v="2"/>
    <n v="5"/>
    <n v="721"/>
    <n v="20"/>
    <x v="43"/>
    <x v="4"/>
    <x v="0"/>
    <x v="1"/>
    <x v="1"/>
    <n v="3605"/>
    <n v="721"/>
    <n v="2884"/>
  </r>
  <r>
    <n v="10398"/>
    <s v="Amit Bhatt"/>
    <s v="amit.bhatt@gamil.com"/>
    <n v="9536820025"/>
    <x v="7"/>
    <x v="6"/>
    <x v="4"/>
    <x v="1"/>
    <n v="3"/>
    <n v="274"/>
    <n v="0"/>
    <x v="44"/>
    <x v="3"/>
    <x v="0"/>
    <x v="3"/>
    <x v="2"/>
    <n v="822"/>
    <n v="0"/>
    <n v="822"/>
  </r>
  <r>
    <n v="10496"/>
    <s v="Divya Gupta"/>
    <s v="divya.gupta@gamil.com"/>
    <s v="Invalid"/>
    <x v="0"/>
    <x v="0"/>
    <x v="13"/>
    <x v="3"/>
    <n v="3"/>
    <n v="3373"/>
    <n v="15"/>
    <x v="45"/>
    <x v="2"/>
    <x v="0"/>
    <x v="2"/>
    <x v="4"/>
    <n v="10119"/>
    <n v="1517.85"/>
    <n v="8601.15"/>
  </r>
  <r>
    <n v="10152"/>
    <s v="Vikram Bhatt"/>
    <s v="vikram.bhatt@gamil.com"/>
    <n v="9963034674"/>
    <x v="0"/>
    <x v="0"/>
    <x v="1"/>
    <x v="1"/>
    <n v="2"/>
    <n v="186"/>
    <n v="15"/>
    <x v="46"/>
    <x v="0"/>
    <x v="0"/>
    <x v="5"/>
    <x v="1"/>
    <n v="372"/>
    <n v="55.8"/>
    <n v="316.2"/>
  </r>
  <r>
    <n v="10069"/>
    <s v="Suresh Chopra"/>
    <s v="suresh.chopra@gamil.com"/>
    <n v="9852211317"/>
    <x v="8"/>
    <x v="7"/>
    <x v="13"/>
    <x v="3"/>
    <n v="3"/>
    <n v="4442"/>
    <n v="10"/>
    <x v="47"/>
    <x v="0"/>
    <x v="0"/>
    <x v="2"/>
    <x v="2"/>
    <n v="13326"/>
    <n v="1332.6"/>
    <n v="11993.4"/>
  </r>
  <r>
    <n v="10326"/>
    <s v="Amit Malhotra"/>
    <s v="amit.malhotra@gmail.com"/>
    <s v="Invalid"/>
    <x v="5"/>
    <x v="4"/>
    <x v="14"/>
    <x v="0"/>
    <n v="3"/>
    <n v="1003"/>
    <n v="20"/>
    <x v="48"/>
    <x v="3"/>
    <x v="0"/>
    <x v="5"/>
    <x v="3"/>
    <n v="3009"/>
    <n v="601.79999999999995"/>
    <n v="2407.1999999999998"/>
  </r>
  <r>
    <n v="10138"/>
    <s v="Sneha Iyer"/>
    <s v="sneha.iyer@gamil.com"/>
    <s v="Invalid"/>
    <x v="8"/>
    <x v="7"/>
    <x v="6"/>
    <x v="4"/>
    <n v="5"/>
    <n v="2102"/>
    <n v="0"/>
    <x v="41"/>
    <x v="2"/>
    <x v="0"/>
    <x v="5"/>
    <x v="2"/>
    <n v="10510"/>
    <n v="0"/>
    <n v="10510"/>
  </r>
  <r>
    <n v="10065"/>
    <s v="Pooja Kapoor"/>
    <s v="pooja.kapoor@gamil.com"/>
    <n v="9634209405"/>
    <x v="10"/>
    <x v="8"/>
    <x v="14"/>
    <x v="0"/>
    <n v="4"/>
    <n v="2090"/>
    <n v="0"/>
    <x v="49"/>
    <x v="0"/>
    <x v="0"/>
    <x v="3"/>
    <x v="5"/>
    <n v="8360"/>
    <n v="0"/>
    <n v="8360"/>
  </r>
  <r>
    <n v="10170"/>
    <s v="Sanjay Patel"/>
    <s v="sanjay.patel@gamil.com"/>
    <n v="9731078925"/>
    <x v="11"/>
    <x v="0"/>
    <x v="0"/>
    <x v="0"/>
    <n v="5"/>
    <n v="783"/>
    <n v="0"/>
    <x v="50"/>
    <x v="0"/>
    <x v="2"/>
    <x v="1"/>
    <x v="1"/>
    <n v="3915"/>
    <n v="0"/>
    <n v="3915"/>
  </r>
  <r>
    <n v="10451"/>
    <s v="Amit Shah"/>
    <s v="amit.shah@gamil.com"/>
    <n v="9927628283"/>
    <x v="4"/>
    <x v="3"/>
    <x v="10"/>
    <x v="4"/>
    <n v="3"/>
    <n v="1279"/>
    <n v="5"/>
    <x v="51"/>
    <x v="4"/>
    <x v="0"/>
    <x v="0"/>
    <x v="3"/>
    <n v="3837"/>
    <n v="191.85"/>
    <n v="3645.15"/>
  </r>
  <r>
    <n v="10177"/>
    <s v="Divya Kumar"/>
    <s v="divya.kumar@gamil.com"/>
    <n v="9829770668"/>
    <x v="4"/>
    <x v="3"/>
    <x v="0"/>
    <x v="0"/>
    <n v="3"/>
    <n v="963"/>
    <n v="15"/>
    <x v="52"/>
    <x v="3"/>
    <x v="0"/>
    <x v="4"/>
    <x v="3"/>
    <n v="2889"/>
    <n v="433.35"/>
    <n v="2455.65"/>
  </r>
  <r>
    <n v="10025"/>
    <s v="Vikram Bhatt"/>
    <s v="vikram.bhatt@gmail.com"/>
    <n v="9597270585"/>
    <x v="5"/>
    <x v="4"/>
    <x v="7"/>
    <x v="3"/>
    <n v="2"/>
    <n v="5729"/>
    <n v="10"/>
    <x v="53"/>
    <x v="0"/>
    <x v="0"/>
    <x v="0"/>
    <x v="5"/>
    <n v="11458"/>
    <n v="1145.8"/>
    <n v="10312.200000000001"/>
  </r>
  <r>
    <n v="10292"/>
    <s v="Vikram Bhatt"/>
    <s v="vikram.bhatt@gamil.com"/>
    <n v="9384704568"/>
    <x v="11"/>
    <x v="0"/>
    <x v="1"/>
    <x v="1"/>
    <n v="5"/>
    <n v="187"/>
    <n v="20"/>
    <x v="54"/>
    <x v="4"/>
    <x v="0"/>
    <x v="5"/>
    <x v="4"/>
    <n v="935"/>
    <n v="187"/>
    <n v="748"/>
  </r>
  <r>
    <n v="10282"/>
    <s v="Deepak Sharma"/>
    <s v="deepak.sharma@gamil.com"/>
    <n v="9440054877"/>
    <x v="11"/>
    <x v="0"/>
    <x v="14"/>
    <x v="0"/>
    <n v="5"/>
    <n v="1683"/>
    <n v="15"/>
    <x v="55"/>
    <x v="2"/>
    <x v="0"/>
    <x v="3"/>
    <x v="3"/>
    <n v="8415"/>
    <n v="1262.25"/>
    <n v="7152.75"/>
  </r>
  <r>
    <n v="10248"/>
    <s v="Sneha Malhotra"/>
    <s v="sneha.malhotra@gamil.com"/>
    <n v="9655260468"/>
    <x v="6"/>
    <x v="5"/>
    <x v="3"/>
    <x v="2"/>
    <n v="2"/>
    <n v="250"/>
    <n v="0"/>
    <x v="56"/>
    <x v="1"/>
    <x v="0"/>
    <x v="0"/>
    <x v="0"/>
    <n v="500"/>
    <n v="0"/>
    <n v="500"/>
  </r>
  <r>
    <n v="10466"/>
    <s v="Vikram Agarwal"/>
    <s v="vikram.agarwal@gamil.com"/>
    <n v="9658498269"/>
    <x v="5"/>
    <x v="4"/>
    <x v="11"/>
    <x v="3"/>
    <n v="2"/>
    <n v="23161"/>
    <n v="0"/>
    <x v="57"/>
    <x v="0"/>
    <x v="0"/>
    <x v="5"/>
    <x v="1"/>
    <n v="46322"/>
    <n v="0"/>
    <n v="46322"/>
  </r>
  <r>
    <n v="10353"/>
    <s v="Deepak Sharma"/>
    <s v="deepak.sharma@gamil.com"/>
    <n v="9734774527"/>
    <x v="9"/>
    <x v="3"/>
    <x v="14"/>
    <x v="0"/>
    <n v="4"/>
    <n v="852"/>
    <n v="0"/>
    <x v="58"/>
    <x v="1"/>
    <x v="0"/>
    <x v="0"/>
    <x v="3"/>
    <n v="3408"/>
    <n v="0"/>
    <n v="3408"/>
  </r>
  <r>
    <n v="10491"/>
    <s v="Suresh Malhotra"/>
    <s v="suresh.malhotra@gamil.com"/>
    <s v="Invalid"/>
    <x v="8"/>
    <x v="7"/>
    <x v="5"/>
    <x v="3"/>
    <n v="2"/>
    <n v="56410"/>
    <n v="10"/>
    <x v="59"/>
    <x v="4"/>
    <x v="0"/>
    <x v="2"/>
    <x v="0"/>
    <n v="112820"/>
    <n v="11282"/>
    <n v="101538"/>
  </r>
  <r>
    <n v="10281"/>
    <s v="Swati Chopra"/>
    <s v="swati.chopra@gamil.com"/>
    <n v="9105344340"/>
    <x v="10"/>
    <x v="8"/>
    <x v="5"/>
    <x v="3"/>
    <n v="3"/>
    <n v="59520"/>
    <n v="0"/>
    <x v="60"/>
    <x v="2"/>
    <x v="0"/>
    <x v="1"/>
    <x v="3"/>
    <n v="178560"/>
    <n v="0"/>
    <n v="178560"/>
  </r>
  <r>
    <n v="10053"/>
    <s v="Suresh Patel"/>
    <s v="suresh.patel@gamil.com"/>
    <n v="9304929039"/>
    <x v="1"/>
    <x v="1"/>
    <x v="3"/>
    <x v="2"/>
    <n v="4"/>
    <n v="787"/>
    <n v="20"/>
    <x v="61"/>
    <x v="3"/>
    <x v="0"/>
    <x v="2"/>
    <x v="4"/>
    <n v="3148"/>
    <n v="629.6"/>
    <n v="2518.4"/>
  </r>
  <r>
    <n v="10175"/>
    <s v="Amit Iyer"/>
    <s v="amit.iyer@gamil.com"/>
    <n v="9397339986"/>
    <x v="10"/>
    <x v="8"/>
    <x v="12"/>
    <x v="5"/>
    <n v="1"/>
    <n v="587"/>
    <n v="0"/>
    <x v="62"/>
    <x v="0"/>
    <x v="0"/>
    <x v="1"/>
    <x v="4"/>
    <n v="587"/>
    <n v="0"/>
    <n v="587"/>
  </r>
  <r>
    <n v="10446"/>
    <s v="Anita Kapoor"/>
    <s v="N/A"/>
    <s v="Invalid"/>
    <x v="3"/>
    <x v="0"/>
    <x v="13"/>
    <x v="3"/>
    <n v="2"/>
    <n v="4040"/>
    <n v="15"/>
    <x v="63"/>
    <x v="1"/>
    <x v="0"/>
    <x v="1"/>
    <x v="5"/>
    <n v="8080"/>
    <n v="1212"/>
    <n v="6868"/>
  </r>
  <r>
    <n v="10192"/>
    <s v="Sneha Iyer"/>
    <s v="N/A"/>
    <n v="9550220088"/>
    <x v="10"/>
    <x v="8"/>
    <x v="3"/>
    <x v="2"/>
    <n v="5"/>
    <n v="240"/>
    <n v="0"/>
    <x v="43"/>
    <x v="1"/>
    <x v="0"/>
    <x v="3"/>
    <x v="2"/>
    <n v="1200"/>
    <n v="0"/>
    <n v="1200"/>
  </r>
  <r>
    <n v="10002"/>
    <s v="Pooja Singh"/>
    <s v="pooja.singh@gamil.com"/>
    <n v="9352050161"/>
    <x v="7"/>
    <x v="6"/>
    <x v="8"/>
    <x v="3"/>
    <n v="5"/>
    <n v="22950"/>
    <n v="0"/>
    <x v="64"/>
    <x v="1"/>
    <x v="0"/>
    <x v="4"/>
    <x v="3"/>
    <n v="114750"/>
    <n v="0"/>
    <n v="114750"/>
  </r>
  <r>
    <n v="10158"/>
    <s v="Arjun Sharma"/>
    <s v="N/A"/>
    <n v="9139390330"/>
    <x v="10"/>
    <x v="8"/>
    <x v="5"/>
    <x v="3"/>
    <n v="3"/>
    <n v="54003"/>
    <n v="0"/>
    <x v="65"/>
    <x v="3"/>
    <x v="2"/>
    <x v="2"/>
    <x v="4"/>
    <n v="162009"/>
    <n v="0"/>
    <n v="162009"/>
  </r>
  <r>
    <n v="10156"/>
    <s v="Meena Reddy"/>
    <s v="meena.reddy@gamil.com"/>
    <n v="9892349162"/>
    <x v="6"/>
    <x v="5"/>
    <x v="8"/>
    <x v="3"/>
    <n v="5"/>
    <n v="32423"/>
    <n v="5"/>
    <x v="66"/>
    <x v="3"/>
    <x v="0"/>
    <x v="5"/>
    <x v="2"/>
    <n v="162115"/>
    <n v="8105.75"/>
    <n v="154009.25"/>
  </r>
  <r>
    <n v="10127"/>
    <s v="Neha Malhotra"/>
    <s v="N/A"/>
    <n v="9910968364"/>
    <x v="5"/>
    <x v="4"/>
    <x v="12"/>
    <x v="5"/>
    <n v="2"/>
    <n v="354"/>
    <n v="10"/>
    <x v="67"/>
    <x v="0"/>
    <x v="0"/>
    <x v="3"/>
    <x v="1"/>
    <n v="708"/>
    <n v="70.8"/>
    <n v="637.20000000000005"/>
  </r>
  <r>
    <n v="10355"/>
    <s v="Vikram Bhatt"/>
    <s v="vikram.bhatt@gamil.com"/>
    <n v="9662052827"/>
    <x v="7"/>
    <x v="6"/>
    <x v="7"/>
    <x v="3"/>
    <n v="5"/>
    <n v="10725"/>
    <n v="20"/>
    <x v="20"/>
    <x v="4"/>
    <x v="0"/>
    <x v="4"/>
    <x v="2"/>
    <n v="53625"/>
    <n v="10725"/>
    <n v="42900"/>
  </r>
  <r>
    <n v="10147"/>
    <s v="Neha Kumar"/>
    <s v="neha.kumar@gamil.com"/>
    <s v="Invalid"/>
    <x v="2"/>
    <x v="2"/>
    <x v="14"/>
    <x v="0"/>
    <n v="3"/>
    <n v="1841"/>
    <n v="5"/>
    <x v="19"/>
    <x v="1"/>
    <x v="0"/>
    <x v="5"/>
    <x v="5"/>
    <n v="5523"/>
    <n v="276.14999999999998"/>
    <n v="5246.85"/>
  </r>
  <r>
    <n v="10044"/>
    <s v="Rahul Mehta"/>
    <s v="rahul.mehta@gamil.com"/>
    <s v="Invalid"/>
    <x v="11"/>
    <x v="0"/>
    <x v="11"/>
    <x v="3"/>
    <n v="3"/>
    <n v="16077"/>
    <n v="15"/>
    <x v="54"/>
    <x v="2"/>
    <x v="0"/>
    <x v="1"/>
    <x v="2"/>
    <n v="48231"/>
    <n v="7234.65"/>
    <n v="40996.35"/>
  </r>
  <r>
    <n v="10371"/>
    <s v="Ritu Kumar"/>
    <s v="ritu.kumar@gmail.com"/>
    <n v="9184666314"/>
    <x v="10"/>
    <x v="8"/>
    <x v="4"/>
    <x v="1"/>
    <n v="4"/>
    <n v="147"/>
    <n v="0"/>
    <x v="68"/>
    <x v="0"/>
    <x v="0"/>
    <x v="2"/>
    <x v="5"/>
    <n v="588"/>
    <n v="0"/>
    <n v="588"/>
  </r>
  <r>
    <n v="10012"/>
    <s v="Vikram Yadav"/>
    <s v="vikram.yadav@gmail.com"/>
    <n v="9810267791"/>
    <x v="11"/>
    <x v="0"/>
    <x v="6"/>
    <x v="4"/>
    <n v="4"/>
    <n v="1677"/>
    <n v="10"/>
    <x v="69"/>
    <x v="1"/>
    <x v="0"/>
    <x v="2"/>
    <x v="1"/>
    <n v="6708"/>
    <n v="670.8"/>
    <n v="6037.2"/>
  </r>
  <r>
    <n v="10037"/>
    <s v="Divya Chopra"/>
    <s v="divya.chopra@gamil.com"/>
    <n v="9259145178"/>
    <x v="2"/>
    <x v="2"/>
    <x v="10"/>
    <x v="4"/>
    <n v="3"/>
    <n v="1432"/>
    <n v="0"/>
    <x v="70"/>
    <x v="2"/>
    <x v="0"/>
    <x v="3"/>
    <x v="1"/>
    <n v="4296"/>
    <n v="0"/>
    <n v="4296"/>
  </r>
  <r>
    <n v="10289"/>
    <s v="Anita Reddy"/>
    <s v="anita.reddy@gamil.com"/>
    <n v="9745613644"/>
    <x v="1"/>
    <x v="1"/>
    <x v="11"/>
    <x v="3"/>
    <n v="4"/>
    <n v="16324"/>
    <n v="5"/>
    <x v="35"/>
    <x v="3"/>
    <x v="0"/>
    <x v="5"/>
    <x v="3"/>
    <n v="65296"/>
    <n v="3264.8"/>
    <n v="62031.199999999997"/>
  </r>
  <r>
    <n v="10024"/>
    <s v="Sneha Malhotra"/>
    <s v="sneha.malhotra@gamil.com"/>
    <n v="9601519538"/>
    <x v="2"/>
    <x v="2"/>
    <x v="13"/>
    <x v="3"/>
    <n v="1"/>
    <n v="1789"/>
    <n v="0"/>
    <x v="71"/>
    <x v="1"/>
    <x v="1"/>
    <x v="4"/>
    <x v="2"/>
    <n v="1789"/>
    <n v="0"/>
    <n v="1789"/>
  </r>
  <r>
    <n v="10039"/>
    <s v="Swati Verma"/>
    <s v="swati.verma@gamil.com"/>
    <n v="9878214613"/>
    <x v="3"/>
    <x v="0"/>
    <x v="10"/>
    <x v="4"/>
    <n v="2"/>
    <n v="864"/>
    <n v="5"/>
    <x v="72"/>
    <x v="0"/>
    <x v="1"/>
    <x v="4"/>
    <x v="2"/>
    <n v="1728"/>
    <n v="86.4"/>
    <n v="1641.6"/>
  </r>
  <r>
    <n v="10030"/>
    <s v="Sneha Singh"/>
    <s v="sneha.singh@gamil.com"/>
    <n v="9840623451"/>
    <x v="10"/>
    <x v="8"/>
    <x v="12"/>
    <x v="5"/>
    <n v="2"/>
    <n v="438"/>
    <n v="0"/>
    <x v="73"/>
    <x v="3"/>
    <x v="0"/>
    <x v="1"/>
    <x v="1"/>
    <n v="876"/>
    <n v="0"/>
    <n v="876"/>
  </r>
  <r>
    <n v="10196"/>
    <s v="Vikram Singh"/>
    <s v="vikram.singh@gmail.com"/>
    <n v="9366171436"/>
    <x v="5"/>
    <x v="4"/>
    <x v="13"/>
    <x v="3"/>
    <n v="5"/>
    <n v="2887"/>
    <n v="5"/>
    <x v="74"/>
    <x v="0"/>
    <x v="2"/>
    <x v="1"/>
    <x v="1"/>
    <n v="14435"/>
    <n v="721.75"/>
    <n v="13713.25"/>
  </r>
  <r>
    <n v="10387"/>
    <s v="Amit Agarwal"/>
    <s v="amit.agarwal@gmail.com"/>
    <n v="9838763820"/>
    <x v="5"/>
    <x v="4"/>
    <x v="9"/>
    <x v="5"/>
    <n v="4"/>
    <n v="748"/>
    <n v="0"/>
    <x v="72"/>
    <x v="3"/>
    <x v="0"/>
    <x v="4"/>
    <x v="5"/>
    <n v="2992"/>
    <n v="0"/>
    <n v="2992"/>
  </r>
  <r>
    <n v="10365"/>
    <s v="Divya Singh"/>
    <s v="divya.singh@gmail.com"/>
    <s v="Invalid"/>
    <x v="10"/>
    <x v="8"/>
    <x v="5"/>
    <x v="3"/>
    <n v="1"/>
    <n v="49881"/>
    <n v="20"/>
    <x v="75"/>
    <x v="1"/>
    <x v="2"/>
    <x v="2"/>
    <x v="5"/>
    <n v="49881"/>
    <n v="9976.2000000000007"/>
    <n v="39904.800000000003"/>
  </r>
  <r>
    <n v="10399"/>
    <s v="Suresh Malhotra"/>
    <s v="suresh.malhotra@gamil.com"/>
    <s v="Invalid"/>
    <x v="11"/>
    <x v="0"/>
    <x v="11"/>
    <x v="3"/>
    <n v="1"/>
    <n v="22714"/>
    <n v="20"/>
    <x v="38"/>
    <x v="3"/>
    <x v="0"/>
    <x v="3"/>
    <x v="1"/>
    <n v="22714"/>
    <n v="4542.8"/>
    <n v="18171.2"/>
  </r>
  <r>
    <n v="10347"/>
    <s v="Amit Iyer"/>
    <s v="amit.iyer@gmail.com"/>
    <n v="9283081129"/>
    <x v="6"/>
    <x v="5"/>
    <x v="3"/>
    <x v="2"/>
    <n v="2"/>
    <n v="752"/>
    <n v="0"/>
    <x v="48"/>
    <x v="2"/>
    <x v="0"/>
    <x v="2"/>
    <x v="2"/>
    <n v="1504"/>
    <n v="0"/>
    <n v="1504"/>
  </r>
  <r>
    <n v="10428"/>
    <s v="Rahul Patel"/>
    <s v="rahul.patel@gamil.com"/>
    <s v="Invalid"/>
    <x v="0"/>
    <x v="0"/>
    <x v="11"/>
    <x v="3"/>
    <n v="4"/>
    <n v="22038"/>
    <n v="15"/>
    <x v="76"/>
    <x v="2"/>
    <x v="0"/>
    <x v="4"/>
    <x v="1"/>
    <n v="88152"/>
    <n v="13222.8"/>
    <n v="74929.2"/>
  </r>
  <r>
    <n v="10293"/>
    <s v="Ajay Agarwal"/>
    <s v="ajay.agarwal@gamil.com"/>
    <n v="9306817014"/>
    <x v="0"/>
    <x v="0"/>
    <x v="14"/>
    <x v="0"/>
    <n v="4"/>
    <n v="1889"/>
    <n v="0"/>
    <x v="77"/>
    <x v="4"/>
    <x v="0"/>
    <x v="1"/>
    <x v="1"/>
    <n v="7556"/>
    <n v="0"/>
    <n v="7556"/>
  </r>
  <r>
    <n v="10035"/>
    <s v="Rahul Sharma"/>
    <s v="rahul.sharma@gamil.com"/>
    <n v="9225925001"/>
    <x v="9"/>
    <x v="3"/>
    <x v="10"/>
    <x v="4"/>
    <n v="5"/>
    <n v="715"/>
    <n v="5"/>
    <x v="70"/>
    <x v="3"/>
    <x v="0"/>
    <x v="3"/>
    <x v="3"/>
    <n v="3575"/>
    <n v="178.75"/>
    <n v="3396.25"/>
  </r>
  <r>
    <n v="10225"/>
    <s v="Divya Yadav"/>
    <s v="divya.yadav@gamil.com"/>
    <n v="9439212093"/>
    <x v="2"/>
    <x v="2"/>
    <x v="7"/>
    <x v="3"/>
    <n v="2"/>
    <n v="13633"/>
    <n v="5"/>
    <x v="78"/>
    <x v="4"/>
    <x v="0"/>
    <x v="0"/>
    <x v="2"/>
    <n v="27266"/>
    <n v="1363.3"/>
    <n v="25902.7"/>
  </r>
  <r>
    <n v="10134"/>
    <s v="Aarav Yadav"/>
    <s v="aarav.yadav@gamil.com"/>
    <n v="9977908582"/>
    <x v="10"/>
    <x v="8"/>
    <x v="6"/>
    <x v="4"/>
    <n v="3"/>
    <n v="3884"/>
    <n v="15"/>
    <x v="79"/>
    <x v="3"/>
    <x v="0"/>
    <x v="4"/>
    <x v="0"/>
    <n v="11652"/>
    <n v="1747.8"/>
    <n v="9904.2000000000007"/>
  </r>
  <r>
    <n v="10434"/>
    <s v="Amit Malhotra"/>
    <s v="amit.malhotra@gamil.com"/>
    <n v="9132167452"/>
    <x v="0"/>
    <x v="0"/>
    <x v="4"/>
    <x v="1"/>
    <n v="2"/>
    <n v="368"/>
    <n v="5"/>
    <x v="80"/>
    <x v="2"/>
    <x v="0"/>
    <x v="3"/>
    <x v="5"/>
    <n v="736"/>
    <n v="36.799999999999997"/>
    <n v="699.2"/>
  </r>
  <r>
    <n v="10390"/>
    <s v="Aarav Malhotra"/>
    <s v="aarav.malhotra@gamil.com"/>
    <n v="9601644923"/>
    <x v="2"/>
    <x v="2"/>
    <x v="2"/>
    <x v="0"/>
    <n v="1"/>
    <n v="1084"/>
    <n v="0"/>
    <x v="81"/>
    <x v="2"/>
    <x v="0"/>
    <x v="2"/>
    <x v="5"/>
    <n v="1084"/>
    <n v="0"/>
    <n v="1084"/>
  </r>
  <r>
    <n v="10223"/>
    <s v="Neha Kumar"/>
    <s v="neha.kumar@gamil.com"/>
    <n v="9665078825"/>
    <x v="6"/>
    <x v="5"/>
    <x v="11"/>
    <x v="3"/>
    <n v="3"/>
    <n v="27196"/>
    <n v="10"/>
    <x v="30"/>
    <x v="4"/>
    <x v="0"/>
    <x v="5"/>
    <x v="2"/>
    <n v="81588"/>
    <n v="8158.8"/>
    <n v="73429.2"/>
  </r>
  <r>
    <n v="10116"/>
    <s v="Pooja Singh"/>
    <s v="pooja.singh@gamil.com"/>
    <n v="9280467098"/>
    <x v="3"/>
    <x v="0"/>
    <x v="0"/>
    <x v="0"/>
    <n v="5"/>
    <n v="800"/>
    <n v="5"/>
    <x v="82"/>
    <x v="1"/>
    <x v="1"/>
    <x v="5"/>
    <x v="0"/>
    <n v="4000"/>
    <n v="200"/>
    <n v="3800"/>
  </r>
  <r>
    <n v="10452"/>
    <s v="Pooja Nair"/>
    <s v="pooja.nair@gamil.com"/>
    <n v="9273427348"/>
    <x v="8"/>
    <x v="7"/>
    <x v="7"/>
    <x v="3"/>
    <n v="3"/>
    <n v="7501"/>
    <n v="5"/>
    <x v="83"/>
    <x v="3"/>
    <x v="0"/>
    <x v="2"/>
    <x v="2"/>
    <n v="22503"/>
    <n v="1125.1500000000001"/>
    <n v="21377.85"/>
  </r>
  <r>
    <n v="10094"/>
    <s v="Pooja Yadav"/>
    <s v="pooja.yadav@gamil.com"/>
    <n v="9590650511"/>
    <x v="8"/>
    <x v="7"/>
    <x v="14"/>
    <x v="0"/>
    <n v="5"/>
    <n v="858"/>
    <n v="0"/>
    <x v="84"/>
    <x v="2"/>
    <x v="0"/>
    <x v="3"/>
    <x v="3"/>
    <n v="4290"/>
    <n v="0"/>
    <n v="4290"/>
  </r>
  <r>
    <n v="10288"/>
    <s v="Anita Bhatt"/>
    <s v="anita.bhatt@gamil.com"/>
    <s v="Invalid"/>
    <x v="4"/>
    <x v="3"/>
    <x v="8"/>
    <x v="3"/>
    <n v="2"/>
    <n v="26148"/>
    <n v="0"/>
    <x v="40"/>
    <x v="0"/>
    <x v="0"/>
    <x v="4"/>
    <x v="2"/>
    <n v="52296"/>
    <n v="0"/>
    <n v="52296"/>
  </r>
  <r>
    <n v="10244"/>
    <s v="Priya Chopra"/>
    <s v="priya.chopra@gamil.com"/>
    <s v="Invalid"/>
    <x v="11"/>
    <x v="0"/>
    <x v="14"/>
    <x v="0"/>
    <n v="1"/>
    <n v="2027"/>
    <n v="0"/>
    <x v="85"/>
    <x v="3"/>
    <x v="0"/>
    <x v="5"/>
    <x v="5"/>
    <n v="2027"/>
    <n v="0"/>
    <n v="2027"/>
  </r>
  <r>
    <n v="10033"/>
    <s v="Pooja Nair"/>
    <s v="pooja.nair@gamil.com"/>
    <n v="9483465870"/>
    <x v="2"/>
    <x v="2"/>
    <x v="13"/>
    <x v="3"/>
    <n v="2"/>
    <n v="1541"/>
    <n v="20"/>
    <x v="86"/>
    <x v="3"/>
    <x v="0"/>
    <x v="3"/>
    <x v="2"/>
    <n v="3082"/>
    <n v="616.4"/>
    <n v="2465.6"/>
  </r>
  <r>
    <n v="10102"/>
    <s v="Suresh Chopra"/>
    <s v="suresh.chopra@gamil.com"/>
    <n v="9531675037"/>
    <x v="9"/>
    <x v="3"/>
    <x v="0"/>
    <x v="0"/>
    <n v="2"/>
    <n v="422"/>
    <n v="5"/>
    <x v="9"/>
    <x v="4"/>
    <x v="0"/>
    <x v="3"/>
    <x v="5"/>
    <n v="844"/>
    <n v="42.2"/>
    <n v="801.8"/>
  </r>
  <r>
    <n v="10312"/>
    <s v="Ajay Patel"/>
    <s v="ajay.patel@gamil.com"/>
    <n v="9763765832"/>
    <x v="0"/>
    <x v="0"/>
    <x v="8"/>
    <x v="3"/>
    <n v="3"/>
    <n v="28497"/>
    <n v="0"/>
    <x v="87"/>
    <x v="1"/>
    <x v="0"/>
    <x v="5"/>
    <x v="1"/>
    <n v="85491"/>
    <n v="0"/>
    <n v="85491"/>
  </r>
  <r>
    <n v="10386"/>
    <s v="Rahul Mehta"/>
    <s v="rahul.mehta@gamil.com"/>
    <n v="9376094659"/>
    <x v="3"/>
    <x v="0"/>
    <x v="3"/>
    <x v="2"/>
    <n v="5"/>
    <n v="477"/>
    <n v="0"/>
    <x v="88"/>
    <x v="0"/>
    <x v="0"/>
    <x v="1"/>
    <x v="0"/>
    <n v="2385"/>
    <n v="0"/>
    <n v="2385"/>
  </r>
  <r>
    <n v="10165"/>
    <s v="Ajay Mehta"/>
    <s v="ajay.mehta@gamil.com"/>
    <n v="9946247477"/>
    <x v="2"/>
    <x v="2"/>
    <x v="5"/>
    <x v="3"/>
    <n v="3"/>
    <n v="53435"/>
    <n v="10"/>
    <x v="89"/>
    <x v="2"/>
    <x v="0"/>
    <x v="0"/>
    <x v="3"/>
    <n v="160305"/>
    <n v="16030.5"/>
    <n v="144274.5"/>
  </r>
  <r>
    <n v="10423"/>
    <s v="Suresh Shah"/>
    <s v="suresh.shah@gamil.com"/>
    <n v="9785899176"/>
    <x v="5"/>
    <x v="4"/>
    <x v="1"/>
    <x v="1"/>
    <n v="5"/>
    <n v="114"/>
    <n v="15"/>
    <x v="90"/>
    <x v="4"/>
    <x v="0"/>
    <x v="4"/>
    <x v="4"/>
    <n v="570"/>
    <n v="85.5"/>
    <n v="484.5"/>
  </r>
  <r>
    <n v="10100"/>
    <s v="Ritu Kumar"/>
    <s v="ritu.kumar@gmail.com"/>
    <n v="9508645167"/>
    <x v="7"/>
    <x v="6"/>
    <x v="7"/>
    <x v="3"/>
    <n v="5"/>
    <n v="10440"/>
    <n v="20"/>
    <x v="91"/>
    <x v="0"/>
    <x v="0"/>
    <x v="4"/>
    <x v="1"/>
    <n v="52200"/>
    <n v="10440"/>
    <n v="41760"/>
  </r>
  <r>
    <n v="10048"/>
    <s v="Vikram Kumar"/>
    <s v="N/A"/>
    <n v="9805304296"/>
    <x v="4"/>
    <x v="3"/>
    <x v="7"/>
    <x v="3"/>
    <n v="1"/>
    <n v="7111"/>
    <n v="15"/>
    <x v="92"/>
    <x v="3"/>
    <x v="0"/>
    <x v="3"/>
    <x v="2"/>
    <n v="7111"/>
    <n v="1066.6500000000001"/>
    <n v="6044.35"/>
  </r>
  <r>
    <n v="10043"/>
    <s v="Sneha Sharma"/>
    <s v="sneha.sharma@gamil.com"/>
    <n v="9306383063"/>
    <x v="10"/>
    <x v="8"/>
    <x v="13"/>
    <x v="3"/>
    <n v="3"/>
    <n v="2259"/>
    <n v="0"/>
    <x v="93"/>
    <x v="3"/>
    <x v="0"/>
    <x v="5"/>
    <x v="4"/>
    <n v="6777"/>
    <n v="0"/>
    <n v="6777"/>
  </r>
  <r>
    <n v="10406"/>
    <s v="Rahul Malhotra"/>
    <s v="rahul.malhotra@gmail.com"/>
    <n v="9691895160"/>
    <x v="1"/>
    <x v="1"/>
    <x v="5"/>
    <x v="3"/>
    <n v="3"/>
    <n v="50372"/>
    <n v="0"/>
    <x v="94"/>
    <x v="3"/>
    <x v="0"/>
    <x v="4"/>
    <x v="4"/>
    <n v="151116"/>
    <n v="0"/>
    <n v="151116"/>
  </r>
  <r>
    <n v="10148"/>
    <s v="Ritu Yadav"/>
    <s v="ritu.yadav@gamil.com"/>
    <s v="Invalid"/>
    <x v="6"/>
    <x v="5"/>
    <x v="10"/>
    <x v="4"/>
    <n v="4"/>
    <n v="1355"/>
    <n v="10"/>
    <x v="13"/>
    <x v="0"/>
    <x v="0"/>
    <x v="1"/>
    <x v="3"/>
    <n v="5420"/>
    <n v="542"/>
    <n v="4878"/>
  </r>
  <r>
    <n v="10146"/>
    <s v="Pooja Joshi"/>
    <s v="pooja.joshi@gamil.com"/>
    <n v="9648189996"/>
    <x v="7"/>
    <x v="6"/>
    <x v="1"/>
    <x v="1"/>
    <n v="2"/>
    <n v="79"/>
    <n v="10"/>
    <x v="95"/>
    <x v="2"/>
    <x v="0"/>
    <x v="4"/>
    <x v="2"/>
    <n v="158"/>
    <n v="15.8"/>
    <n v="142.19999999999999"/>
  </r>
  <r>
    <n v="10250"/>
    <s v="Neha Shah"/>
    <s v="neha.shah@gamil.com"/>
    <s v="Invalid"/>
    <x v="3"/>
    <x v="0"/>
    <x v="11"/>
    <x v="3"/>
    <n v="5"/>
    <n v="16603"/>
    <n v="10"/>
    <x v="96"/>
    <x v="3"/>
    <x v="0"/>
    <x v="5"/>
    <x v="1"/>
    <n v="83015"/>
    <n v="8301.5"/>
    <n v="74713.5"/>
  </r>
  <r>
    <n v="10478"/>
    <s v="Rahul Patel"/>
    <s v="N/A"/>
    <n v="9785805442"/>
    <x v="8"/>
    <x v="7"/>
    <x v="1"/>
    <x v="1"/>
    <n v="4"/>
    <n v="165"/>
    <n v="20"/>
    <x v="47"/>
    <x v="0"/>
    <x v="0"/>
    <x v="0"/>
    <x v="5"/>
    <n v="660"/>
    <n v="132"/>
    <n v="528"/>
  </r>
  <r>
    <n v="10366"/>
    <s v="Divya Nair"/>
    <s v="divya.nair@gamil.com"/>
    <n v="9791246107"/>
    <x v="3"/>
    <x v="0"/>
    <x v="6"/>
    <x v="4"/>
    <n v="4"/>
    <n v="3495"/>
    <n v="5"/>
    <x v="97"/>
    <x v="1"/>
    <x v="0"/>
    <x v="3"/>
    <x v="0"/>
    <n v="13980"/>
    <n v="699"/>
    <n v="13281"/>
  </r>
  <r>
    <n v="10272"/>
    <s v="Priya Malhotra"/>
    <s v="priya.malhotra@gamil.com"/>
    <s v="Invalid"/>
    <x v="10"/>
    <x v="8"/>
    <x v="12"/>
    <x v="5"/>
    <n v="1"/>
    <n v="582"/>
    <n v="5"/>
    <x v="56"/>
    <x v="1"/>
    <x v="0"/>
    <x v="5"/>
    <x v="3"/>
    <n v="582"/>
    <n v="29.1"/>
    <n v="552.9"/>
  </r>
  <r>
    <n v="10181"/>
    <s v="Kavita Chopra"/>
    <s v="N/A"/>
    <n v="9179916401"/>
    <x v="8"/>
    <x v="7"/>
    <x v="7"/>
    <x v="3"/>
    <n v="4"/>
    <n v="13028"/>
    <n v="20"/>
    <x v="98"/>
    <x v="4"/>
    <x v="0"/>
    <x v="1"/>
    <x v="1"/>
    <n v="52112"/>
    <n v="10422.4"/>
    <n v="41689.599999999999"/>
  </r>
  <r>
    <n v="10040"/>
    <s v="Vikram Sharma"/>
    <s v="vikram.sharma@gamil.com"/>
    <n v="9351032723"/>
    <x v="3"/>
    <x v="0"/>
    <x v="9"/>
    <x v="5"/>
    <n v="4"/>
    <n v="385"/>
    <n v="20"/>
    <x v="99"/>
    <x v="1"/>
    <x v="0"/>
    <x v="3"/>
    <x v="3"/>
    <n v="1540"/>
    <n v="308"/>
    <n v="1232"/>
  </r>
  <r>
    <n v="10188"/>
    <s v="Amit Malhotra"/>
    <s v="amit.malhotra@gamil.com"/>
    <s v="Invalid"/>
    <x v="5"/>
    <x v="4"/>
    <x v="5"/>
    <x v="3"/>
    <n v="1"/>
    <n v="52269"/>
    <n v="10"/>
    <x v="100"/>
    <x v="1"/>
    <x v="0"/>
    <x v="5"/>
    <x v="1"/>
    <n v="52269"/>
    <n v="5226.8999999999996"/>
    <n v="47042.1"/>
  </r>
  <r>
    <n v="10029"/>
    <s v="Amit Nair"/>
    <s v="amit.nair@gamil.com"/>
    <n v="9196780688"/>
    <x v="0"/>
    <x v="0"/>
    <x v="0"/>
    <x v="0"/>
    <n v="5"/>
    <n v="609"/>
    <n v="20"/>
    <x v="101"/>
    <x v="2"/>
    <x v="0"/>
    <x v="1"/>
    <x v="1"/>
    <n v="3045"/>
    <n v="609"/>
    <n v="2436"/>
  </r>
  <r>
    <n v="10360"/>
    <s v="Suresh Patel"/>
    <s v="suresh.patel@gamil.com"/>
    <n v="9304242721"/>
    <x v="3"/>
    <x v="0"/>
    <x v="1"/>
    <x v="1"/>
    <n v="1"/>
    <n v="107"/>
    <n v="0"/>
    <x v="102"/>
    <x v="0"/>
    <x v="0"/>
    <x v="4"/>
    <x v="1"/>
    <n v="107"/>
    <n v="0"/>
    <n v="107"/>
  </r>
  <r>
    <n v="10487"/>
    <s v="Priya Patel"/>
    <s v="priya.patel@gamil.com"/>
    <s v="Invalid"/>
    <x v="6"/>
    <x v="5"/>
    <x v="12"/>
    <x v="5"/>
    <n v="2"/>
    <n v="305"/>
    <n v="20"/>
    <x v="103"/>
    <x v="1"/>
    <x v="0"/>
    <x v="3"/>
    <x v="3"/>
    <n v="610"/>
    <n v="122"/>
    <n v="488"/>
  </r>
  <r>
    <n v="10493"/>
    <s v="Amit Reddy"/>
    <s v="amit.reddy@gamil.com"/>
    <n v="9546473972"/>
    <x v="2"/>
    <x v="2"/>
    <x v="0"/>
    <x v="0"/>
    <n v="5"/>
    <n v="597"/>
    <n v="0"/>
    <x v="104"/>
    <x v="3"/>
    <x v="0"/>
    <x v="2"/>
    <x v="5"/>
    <n v="2985"/>
    <n v="0"/>
    <n v="2985"/>
  </r>
  <r>
    <n v="10488"/>
    <s v="Amit Malhotra"/>
    <s v="amit.malhotra@gmail.com"/>
    <n v="9100770407"/>
    <x v="7"/>
    <x v="6"/>
    <x v="14"/>
    <x v="0"/>
    <n v="3"/>
    <n v="1076"/>
    <n v="0"/>
    <x v="91"/>
    <x v="1"/>
    <x v="1"/>
    <x v="1"/>
    <x v="2"/>
    <n v="3228"/>
    <n v="0"/>
    <n v="3228"/>
  </r>
  <r>
    <n v="10445"/>
    <s v="Ritu Singh"/>
    <s v="ritu.singh@gamil.com"/>
    <n v="9120332160"/>
    <x v="2"/>
    <x v="2"/>
    <x v="6"/>
    <x v="4"/>
    <n v="2"/>
    <n v="2401"/>
    <n v="5"/>
    <x v="71"/>
    <x v="2"/>
    <x v="0"/>
    <x v="5"/>
    <x v="4"/>
    <n v="4802"/>
    <n v="240.1"/>
    <n v="4561.8999999999996"/>
  </r>
  <r>
    <n v="10050"/>
    <s v="Sanjay Agarwal"/>
    <s v="sanjay.agarwal@gamil.com"/>
    <n v="9332207692"/>
    <x v="11"/>
    <x v="0"/>
    <x v="12"/>
    <x v="5"/>
    <n v="2"/>
    <n v="477"/>
    <n v="20"/>
    <x v="105"/>
    <x v="2"/>
    <x v="0"/>
    <x v="4"/>
    <x v="1"/>
    <n v="954"/>
    <n v="190.8"/>
    <n v="763.2"/>
  </r>
  <r>
    <n v="10159"/>
    <s v="Ajay Patel"/>
    <s v="ajay.patel@gamil.com"/>
    <n v="9365791233"/>
    <x v="0"/>
    <x v="0"/>
    <x v="4"/>
    <x v="1"/>
    <n v="3"/>
    <n v="233"/>
    <n v="0"/>
    <x v="106"/>
    <x v="3"/>
    <x v="0"/>
    <x v="1"/>
    <x v="4"/>
    <n v="699"/>
    <n v="0"/>
    <n v="699"/>
  </r>
  <r>
    <n v="10343"/>
    <s v="Ritu Desai"/>
    <s v="ritu.desai@gamil.com"/>
    <n v="9429018070"/>
    <x v="11"/>
    <x v="0"/>
    <x v="1"/>
    <x v="1"/>
    <n v="5"/>
    <n v="83"/>
    <n v="0"/>
    <x v="31"/>
    <x v="1"/>
    <x v="2"/>
    <x v="2"/>
    <x v="2"/>
    <n v="415"/>
    <n v="0"/>
    <n v="415"/>
  </r>
  <r>
    <n v="10185"/>
    <s v="Arjun Shah"/>
    <s v="arjun.shah@gamil.com"/>
    <n v="9567505465"/>
    <x v="0"/>
    <x v="0"/>
    <x v="1"/>
    <x v="1"/>
    <n v="1"/>
    <n v="103"/>
    <n v="0"/>
    <x v="107"/>
    <x v="1"/>
    <x v="0"/>
    <x v="3"/>
    <x v="5"/>
    <n v="103"/>
    <n v="0"/>
    <n v="103"/>
  </r>
  <r>
    <n v="10381"/>
    <s v="Rahul Sharma"/>
    <s v="rahul.sharma@gamil.com"/>
    <n v="9337836182"/>
    <x v="3"/>
    <x v="0"/>
    <x v="6"/>
    <x v="4"/>
    <n v="5"/>
    <n v="3377"/>
    <n v="0"/>
    <x v="108"/>
    <x v="1"/>
    <x v="0"/>
    <x v="3"/>
    <x v="3"/>
    <n v="16885"/>
    <n v="0"/>
    <n v="16885"/>
  </r>
  <r>
    <n v="10144"/>
    <s v="Vikram Agarwal"/>
    <s v="vikram.agarwal@gamil.com"/>
    <n v="9998605466"/>
    <x v="1"/>
    <x v="1"/>
    <x v="5"/>
    <x v="3"/>
    <n v="4"/>
    <n v="64226"/>
    <n v="5"/>
    <x v="68"/>
    <x v="0"/>
    <x v="2"/>
    <x v="5"/>
    <x v="5"/>
    <n v="256904"/>
    <n v="12845.2"/>
    <n v="244058.8"/>
  </r>
  <r>
    <n v="10105"/>
    <s v="Neha Singh"/>
    <s v="neha.singh@gamil.com"/>
    <s v="Invalid"/>
    <x v="6"/>
    <x v="5"/>
    <x v="2"/>
    <x v="0"/>
    <n v="1"/>
    <n v="1406"/>
    <n v="0"/>
    <x v="109"/>
    <x v="3"/>
    <x v="0"/>
    <x v="0"/>
    <x v="3"/>
    <n v="1406"/>
    <n v="0"/>
    <n v="1406"/>
  </r>
  <r>
    <n v="10305"/>
    <s v="Arjun Nair"/>
    <s v="arjun.nair@gamil.com"/>
    <n v="9644575724"/>
    <x v="11"/>
    <x v="0"/>
    <x v="12"/>
    <x v="5"/>
    <n v="2"/>
    <n v="466"/>
    <n v="0"/>
    <x v="110"/>
    <x v="3"/>
    <x v="0"/>
    <x v="1"/>
    <x v="4"/>
    <n v="932"/>
    <n v="0"/>
    <n v="932"/>
  </r>
  <r>
    <n v="10413"/>
    <s v="Ajay Mehta"/>
    <s v="ajay.mehta@gamil.com"/>
    <n v="9349638777"/>
    <x v="7"/>
    <x v="6"/>
    <x v="11"/>
    <x v="3"/>
    <n v="5"/>
    <n v="22950"/>
    <n v="5"/>
    <x v="111"/>
    <x v="1"/>
    <x v="1"/>
    <x v="5"/>
    <x v="4"/>
    <n v="114750"/>
    <n v="5737.5"/>
    <n v="109012.5"/>
  </r>
  <r>
    <n v="10334"/>
    <s v="Suresh Chopra"/>
    <s v="suresh.chopra@gamil.com"/>
    <n v="9817567510"/>
    <x v="9"/>
    <x v="3"/>
    <x v="13"/>
    <x v="3"/>
    <n v="4"/>
    <n v="1782"/>
    <n v="5"/>
    <x v="112"/>
    <x v="1"/>
    <x v="0"/>
    <x v="1"/>
    <x v="0"/>
    <n v="7128"/>
    <n v="356.4"/>
    <n v="6771.6"/>
  </r>
  <r>
    <n v="10364"/>
    <s v="Sanjay Nair"/>
    <s v="sanjay.nair@gamil.com"/>
    <s v="Invalid"/>
    <x v="0"/>
    <x v="0"/>
    <x v="5"/>
    <x v="3"/>
    <n v="4"/>
    <n v="59988"/>
    <n v="0"/>
    <x v="113"/>
    <x v="2"/>
    <x v="0"/>
    <x v="1"/>
    <x v="3"/>
    <n v="239952"/>
    <n v="0"/>
    <n v="239952"/>
  </r>
  <r>
    <n v="10373"/>
    <s v="Arjun Kumar"/>
    <s v="N/A"/>
    <s v="Invalid"/>
    <x v="0"/>
    <x v="0"/>
    <x v="11"/>
    <x v="3"/>
    <n v="2"/>
    <n v="19624"/>
    <n v="10"/>
    <x v="114"/>
    <x v="4"/>
    <x v="0"/>
    <x v="3"/>
    <x v="4"/>
    <n v="39248"/>
    <n v="3924.8"/>
    <n v="35323.199999999997"/>
  </r>
  <r>
    <n v="10051"/>
    <s v="Sanjay Chopra"/>
    <s v="sanjay.chopra@gamil.com"/>
    <n v="9880161527"/>
    <x v="7"/>
    <x v="6"/>
    <x v="6"/>
    <x v="4"/>
    <n v="5"/>
    <n v="4644"/>
    <n v="0"/>
    <x v="115"/>
    <x v="2"/>
    <x v="2"/>
    <x v="2"/>
    <x v="4"/>
    <n v="23220"/>
    <n v="0"/>
    <n v="23220"/>
  </r>
  <r>
    <n v="10391"/>
    <s v="Rahul Patel"/>
    <s v="rahul.patel@gamil.com"/>
    <n v="9555707632"/>
    <x v="4"/>
    <x v="3"/>
    <x v="14"/>
    <x v="0"/>
    <n v="5"/>
    <n v="956"/>
    <n v="0"/>
    <x v="22"/>
    <x v="2"/>
    <x v="0"/>
    <x v="2"/>
    <x v="3"/>
    <n v="4780"/>
    <n v="0"/>
    <n v="4780"/>
  </r>
  <r>
    <n v="10425"/>
    <s v="Aarav Kapoor"/>
    <s v="aarav.kapoor@gamil.com"/>
    <s v="Invalid"/>
    <x v="9"/>
    <x v="3"/>
    <x v="7"/>
    <x v="3"/>
    <n v="2"/>
    <n v="13296"/>
    <n v="10"/>
    <x v="116"/>
    <x v="3"/>
    <x v="0"/>
    <x v="0"/>
    <x v="2"/>
    <n v="26592"/>
    <n v="2659.2"/>
    <n v="23932.799999999999"/>
  </r>
  <r>
    <n v="10330"/>
    <s v="Rahul Verma"/>
    <s v="rahul.verma@gamil.com"/>
    <n v="9329793562"/>
    <x v="4"/>
    <x v="3"/>
    <x v="8"/>
    <x v="3"/>
    <n v="1"/>
    <n v="12158"/>
    <n v="10"/>
    <x v="66"/>
    <x v="1"/>
    <x v="0"/>
    <x v="3"/>
    <x v="5"/>
    <n v="12158"/>
    <n v="1215.8"/>
    <n v="10942.2"/>
  </r>
  <r>
    <n v="10464"/>
    <s v="Vikram Yadav"/>
    <s v="vikram.yadav@gamil.com"/>
    <n v="9764047272"/>
    <x v="10"/>
    <x v="8"/>
    <x v="14"/>
    <x v="0"/>
    <n v="1"/>
    <n v="809"/>
    <n v="5"/>
    <x v="117"/>
    <x v="1"/>
    <x v="0"/>
    <x v="4"/>
    <x v="2"/>
    <n v="809"/>
    <n v="40.450000000000003"/>
    <n v="768.55"/>
  </r>
  <r>
    <n v="10418"/>
    <s v="Rahul Sharma"/>
    <s v="N/A"/>
    <s v="Invalid"/>
    <x v="1"/>
    <x v="1"/>
    <x v="1"/>
    <x v="1"/>
    <n v="2"/>
    <n v="83"/>
    <n v="20"/>
    <x v="44"/>
    <x v="0"/>
    <x v="0"/>
    <x v="4"/>
    <x v="1"/>
    <n v="166"/>
    <n v="33.200000000000003"/>
    <n v="132.80000000000001"/>
  </r>
  <r>
    <n v="10249"/>
    <s v="Ritu Iyer"/>
    <s v="ritu.iyer@gamil.com"/>
    <n v="9413275359"/>
    <x v="11"/>
    <x v="0"/>
    <x v="4"/>
    <x v="1"/>
    <n v="1"/>
    <n v="202"/>
    <n v="0"/>
    <x v="118"/>
    <x v="4"/>
    <x v="0"/>
    <x v="1"/>
    <x v="1"/>
    <n v="202"/>
    <n v="0"/>
    <n v="202"/>
  </r>
  <r>
    <n v="10162"/>
    <s v="Aarav Yadav"/>
    <s v="aarav.yadav@gamil.com"/>
    <n v="9136442363"/>
    <x v="11"/>
    <x v="0"/>
    <x v="0"/>
    <x v="0"/>
    <n v="2"/>
    <n v="1419"/>
    <n v="20"/>
    <x v="28"/>
    <x v="1"/>
    <x v="0"/>
    <x v="3"/>
    <x v="1"/>
    <n v="2838"/>
    <n v="567.6"/>
    <n v="2270.4"/>
  </r>
  <r>
    <n v="10143"/>
    <s v="Meena Verma"/>
    <s v="meena.verma@gamil.com"/>
    <n v="9399194754"/>
    <x v="10"/>
    <x v="8"/>
    <x v="7"/>
    <x v="3"/>
    <n v="5"/>
    <n v="13971"/>
    <n v="0"/>
    <x v="119"/>
    <x v="0"/>
    <x v="0"/>
    <x v="4"/>
    <x v="5"/>
    <n v="69855"/>
    <n v="0"/>
    <n v="69855"/>
  </r>
  <r>
    <n v="10201"/>
    <s v="Ritu Yadav"/>
    <s v="ritu.yadav@gamil.com"/>
    <s v="Invalid"/>
    <x v="11"/>
    <x v="0"/>
    <x v="6"/>
    <x v="4"/>
    <n v="3"/>
    <n v="4834"/>
    <n v="0"/>
    <x v="120"/>
    <x v="2"/>
    <x v="0"/>
    <x v="0"/>
    <x v="2"/>
    <n v="14502"/>
    <n v="0"/>
    <n v="14502"/>
  </r>
  <r>
    <n v="10208"/>
    <s v="Aarav Malhotra"/>
    <s v="aarav.malhotra@gamil.com"/>
    <n v="9572431101"/>
    <x v="6"/>
    <x v="5"/>
    <x v="12"/>
    <x v="5"/>
    <n v="3"/>
    <n v="539"/>
    <n v="0"/>
    <x v="121"/>
    <x v="1"/>
    <x v="0"/>
    <x v="1"/>
    <x v="3"/>
    <n v="1617"/>
    <n v="0"/>
    <n v="1617"/>
  </r>
  <r>
    <n v="10154"/>
    <s v="Ajay Iyer"/>
    <s v="ajay.iyer@gamil.com"/>
    <n v="9215708870"/>
    <x v="1"/>
    <x v="1"/>
    <x v="3"/>
    <x v="2"/>
    <n v="5"/>
    <n v="597"/>
    <n v="5"/>
    <x v="55"/>
    <x v="2"/>
    <x v="0"/>
    <x v="2"/>
    <x v="0"/>
    <n v="2985"/>
    <n v="149.25"/>
    <n v="2835.75"/>
  </r>
  <r>
    <n v="10113"/>
    <s v="Deepak Yadav"/>
    <s v="deepak.yadav@gamil.com"/>
    <s v="Invalid"/>
    <x v="8"/>
    <x v="7"/>
    <x v="0"/>
    <x v="0"/>
    <n v="2"/>
    <n v="522"/>
    <n v="15"/>
    <x v="122"/>
    <x v="4"/>
    <x v="0"/>
    <x v="4"/>
    <x v="2"/>
    <n v="1044"/>
    <n v="156.6"/>
    <n v="887.4"/>
  </r>
  <r>
    <n v="10264"/>
    <s v="Kavita Patel"/>
    <s v="kavita.patel@gamil.com"/>
    <n v="9744136754"/>
    <x v="5"/>
    <x v="4"/>
    <x v="0"/>
    <x v="0"/>
    <n v="4"/>
    <n v="899"/>
    <n v="15"/>
    <x v="123"/>
    <x v="0"/>
    <x v="0"/>
    <x v="5"/>
    <x v="4"/>
    <n v="3596"/>
    <n v="539.4"/>
    <n v="3056.6"/>
  </r>
  <r>
    <n v="10107"/>
    <s v="Neha Chopra"/>
    <s v="neha.chopra@gmail.com"/>
    <n v="9818497006"/>
    <x v="4"/>
    <x v="3"/>
    <x v="0"/>
    <x v="0"/>
    <n v="1"/>
    <n v="881"/>
    <n v="10"/>
    <x v="124"/>
    <x v="2"/>
    <x v="0"/>
    <x v="2"/>
    <x v="2"/>
    <n v="881"/>
    <n v="88.1"/>
    <n v="792.9"/>
  </r>
  <r>
    <n v="10119"/>
    <s v="Sanjay Nair"/>
    <s v="sanjay.nair@gamil.com"/>
    <n v="9586637703"/>
    <x v="10"/>
    <x v="8"/>
    <x v="1"/>
    <x v="1"/>
    <n v="2"/>
    <n v="82"/>
    <n v="10"/>
    <x v="125"/>
    <x v="4"/>
    <x v="0"/>
    <x v="5"/>
    <x v="1"/>
    <n v="164"/>
    <n v="16.399999999999999"/>
    <n v="147.6"/>
  </r>
  <r>
    <n v="10150"/>
    <s v="Swati Verma"/>
    <s v="swati.verma@gmail.com"/>
    <n v="9256935296"/>
    <x v="11"/>
    <x v="0"/>
    <x v="13"/>
    <x v="3"/>
    <n v="5"/>
    <n v="3779"/>
    <n v="0"/>
    <x v="117"/>
    <x v="1"/>
    <x v="0"/>
    <x v="1"/>
    <x v="4"/>
    <n v="18895"/>
    <n v="0"/>
    <n v="18895"/>
  </r>
  <r>
    <n v="10424"/>
    <s v="Vikram Agarwal"/>
    <s v="vikram.agarwal@gamil.com"/>
    <n v="9347760520"/>
    <x v="8"/>
    <x v="7"/>
    <x v="2"/>
    <x v="0"/>
    <n v="3"/>
    <n v="1425"/>
    <n v="0"/>
    <x v="99"/>
    <x v="0"/>
    <x v="0"/>
    <x v="0"/>
    <x v="3"/>
    <n v="4275"/>
    <n v="0"/>
    <n v="4275"/>
  </r>
  <r>
    <n v="10001"/>
    <s v="Suresh Bhatt"/>
    <s v="suresh.bhatt@gamil.com"/>
    <n v="9277850531"/>
    <x v="6"/>
    <x v="5"/>
    <x v="0"/>
    <x v="0"/>
    <n v="5"/>
    <n v="1391"/>
    <n v="0"/>
    <x v="126"/>
    <x v="2"/>
    <x v="0"/>
    <x v="4"/>
    <x v="1"/>
    <n v="6955"/>
    <n v="0"/>
    <n v="6955"/>
  </r>
  <r>
    <n v="10302"/>
    <s v="Deepak Malhotra"/>
    <s v="deepak.malhotra@gamil.com"/>
    <n v="9354499343"/>
    <x v="2"/>
    <x v="2"/>
    <x v="1"/>
    <x v="1"/>
    <n v="4"/>
    <n v="174"/>
    <n v="20"/>
    <x v="127"/>
    <x v="3"/>
    <x v="0"/>
    <x v="3"/>
    <x v="0"/>
    <n v="696"/>
    <n v="139.19999999999999"/>
    <n v="556.79999999999995"/>
  </r>
  <r>
    <n v="10266"/>
    <s v="Sanjay Mehta"/>
    <s v="sanjay.mehta@gamil.com"/>
    <n v="9902516528"/>
    <x v="4"/>
    <x v="3"/>
    <x v="11"/>
    <x v="3"/>
    <n v="4"/>
    <n v="16336"/>
    <n v="0"/>
    <x v="128"/>
    <x v="2"/>
    <x v="0"/>
    <x v="4"/>
    <x v="0"/>
    <n v="65344"/>
    <n v="0"/>
    <n v="65344"/>
  </r>
  <r>
    <n v="10176"/>
    <s v="Suresh Patel"/>
    <s v="suresh.patel@gamil.com"/>
    <n v="9991382664"/>
    <x v="4"/>
    <x v="3"/>
    <x v="14"/>
    <x v="0"/>
    <n v="2"/>
    <n v="2476"/>
    <n v="20"/>
    <x v="40"/>
    <x v="0"/>
    <x v="0"/>
    <x v="2"/>
    <x v="5"/>
    <n v="4952"/>
    <n v="990.4"/>
    <n v="3961.6"/>
  </r>
  <r>
    <n v="10407"/>
    <s v="Amit Nair"/>
    <s v="amit.nair@gmail.com"/>
    <n v="9182326750"/>
    <x v="6"/>
    <x v="5"/>
    <x v="2"/>
    <x v="0"/>
    <n v="2"/>
    <n v="977"/>
    <n v="20"/>
    <x v="129"/>
    <x v="1"/>
    <x v="0"/>
    <x v="4"/>
    <x v="2"/>
    <n v="1954"/>
    <n v="390.8"/>
    <n v="1563.2"/>
  </r>
  <r>
    <n v="10388"/>
    <s v="Aarav Mehta"/>
    <s v="aarav.mehta@gamil.com"/>
    <n v="9743278416"/>
    <x v="10"/>
    <x v="8"/>
    <x v="3"/>
    <x v="2"/>
    <n v="1"/>
    <n v="404"/>
    <n v="15"/>
    <x v="130"/>
    <x v="4"/>
    <x v="0"/>
    <x v="5"/>
    <x v="5"/>
    <n v="404"/>
    <n v="60.6"/>
    <n v="343.4"/>
  </r>
  <r>
    <n v="10397"/>
    <s v="Ajay Shah"/>
    <s v="ajay.shah@gamil.com"/>
    <n v="9869029691"/>
    <x v="4"/>
    <x v="3"/>
    <x v="12"/>
    <x v="5"/>
    <n v="1"/>
    <n v="368"/>
    <n v="20"/>
    <x v="131"/>
    <x v="1"/>
    <x v="0"/>
    <x v="2"/>
    <x v="4"/>
    <n v="368"/>
    <n v="73.599999999999994"/>
    <n v="294.39999999999998"/>
  </r>
  <r>
    <n v="10483"/>
    <s v="Deepak Malhotra"/>
    <s v="deepak.malhotra@gamil.com"/>
    <n v="9558861992"/>
    <x v="8"/>
    <x v="7"/>
    <x v="8"/>
    <x v="3"/>
    <n v="2"/>
    <n v="34339"/>
    <n v="0"/>
    <x v="132"/>
    <x v="4"/>
    <x v="2"/>
    <x v="5"/>
    <x v="3"/>
    <n v="68678"/>
    <n v="0"/>
    <n v="68678"/>
  </r>
  <r>
    <n v="10234"/>
    <s v="Rohit Desai"/>
    <s v="rohit.desai@gamil.com"/>
    <n v="9132634873"/>
    <x v="0"/>
    <x v="0"/>
    <x v="13"/>
    <x v="3"/>
    <n v="3"/>
    <n v="2467"/>
    <n v="0"/>
    <x v="100"/>
    <x v="0"/>
    <x v="1"/>
    <x v="4"/>
    <x v="1"/>
    <n v="7401"/>
    <n v="0"/>
    <n v="7401"/>
  </r>
  <r>
    <n v="10060"/>
    <s v="Suresh Reddy"/>
    <s v="suresh.reddy@gamil.com"/>
    <n v="9375622648"/>
    <x v="2"/>
    <x v="2"/>
    <x v="3"/>
    <x v="2"/>
    <n v="5"/>
    <n v="677"/>
    <n v="0"/>
    <x v="133"/>
    <x v="0"/>
    <x v="0"/>
    <x v="0"/>
    <x v="4"/>
    <n v="3385"/>
    <n v="0"/>
    <n v="3385"/>
  </r>
  <r>
    <n v="10206"/>
    <s v="Neha Mehta"/>
    <s v="neha.mehta@gamil.com"/>
    <s v="Invalid"/>
    <x v="10"/>
    <x v="8"/>
    <x v="9"/>
    <x v="5"/>
    <n v="2"/>
    <n v="499"/>
    <n v="0"/>
    <x v="134"/>
    <x v="1"/>
    <x v="0"/>
    <x v="3"/>
    <x v="3"/>
    <n v="998"/>
    <n v="0"/>
    <n v="998"/>
  </r>
  <r>
    <n v="10472"/>
    <s v="Divya Sharma"/>
    <s v="N/A"/>
    <n v="9820472833"/>
    <x v="10"/>
    <x v="8"/>
    <x v="8"/>
    <x v="3"/>
    <n v="5"/>
    <n v="29443"/>
    <n v="0"/>
    <x v="6"/>
    <x v="1"/>
    <x v="0"/>
    <x v="4"/>
    <x v="1"/>
    <n v="147215"/>
    <n v="0"/>
    <n v="147215"/>
  </r>
  <r>
    <n v="10392"/>
    <s v="Arjun Iyer"/>
    <s v="arjun.iyer@gmail.com"/>
    <n v="9553575931"/>
    <x v="6"/>
    <x v="5"/>
    <x v="5"/>
    <x v="3"/>
    <n v="1"/>
    <n v="62141"/>
    <n v="15"/>
    <x v="135"/>
    <x v="1"/>
    <x v="0"/>
    <x v="0"/>
    <x v="4"/>
    <n v="62141"/>
    <n v="9321.15"/>
    <n v="52819.85"/>
  </r>
  <r>
    <n v="10327"/>
    <s v="Priya Reddy"/>
    <s v="priya.reddy@gamil.com"/>
    <n v="9232705251"/>
    <x v="8"/>
    <x v="7"/>
    <x v="3"/>
    <x v="2"/>
    <n v="3"/>
    <n v="482"/>
    <n v="0"/>
    <x v="136"/>
    <x v="2"/>
    <x v="2"/>
    <x v="5"/>
    <x v="3"/>
    <n v="1446"/>
    <n v="0"/>
    <n v="1446"/>
  </r>
  <r>
    <n v="10190"/>
    <s v="Rohit Kapoor"/>
    <s v="N/A"/>
    <n v="9506461441"/>
    <x v="2"/>
    <x v="2"/>
    <x v="13"/>
    <x v="3"/>
    <n v="1"/>
    <n v="2997"/>
    <n v="10"/>
    <x v="137"/>
    <x v="3"/>
    <x v="0"/>
    <x v="0"/>
    <x v="3"/>
    <n v="2997"/>
    <n v="299.7"/>
    <n v="2697.3"/>
  </r>
  <r>
    <n v="10031"/>
    <s v="Amit Malhotra"/>
    <s v="amit.malhotra@gamil.com"/>
    <n v="9558981118"/>
    <x v="1"/>
    <x v="1"/>
    <x v="2"/>
    <x v="0"/>
    <n v="1"/>
    <n v="740"/>
    <n v="20"/>
    <x v="9"/>
    <x v="3"/>
    <x v="0"/>
    <x v="5"/>
    <x v="2"/>
    <n v="740"/>
    <n v="148"/>
    <n v="592"/>
  </r>
  <r>
    <n v="10135"/>
    <s v="Kavita Patel"/>
    <s v="N/A"/>
    <n v="9399557005"/>
    <x v="2"/>
    <x v="2"/>
    <x v="8"/>
    <x v="3"/>
    <n v="4"/>
    <n v="23282"/>
    <n v="5"/>
    <x v="138"/>
    <x v="4"/>
    <x v="0"/>
    <x v="5"/>
    <x v="0"/>
    <n v="93128"/>
    <n v="4656.3999999999996"/>
    <n v="88471.6"/>
  </r>
  <r>
    <n v="10435"/>
    <s v="Deepak Yadav"/>
    <s v="deepak.yadav@gamil.com"/>
    <n v="9873731288"/>
    <x v="7"/>
    <x v="6"/>
    <x v="13"/>
    <x v="3"/>
    <n v="3"/>
    <n v="4046"/>
    <n v="15"/>
    <x v="39"/>
    <x v="2"/>
    <x v="0"/>
    <x v="5"/>
    <x v="0"/>
    <n v="12138"/>
    <n v="1820.7"/>
    <n v="10317.299999999999"/>
  </r>
  <r>
    <n v="10167"/>
    <s v="Priya Reddy"/>
    <s v="N/A"/>
    <n v="9645272108"/>
    <x v="4"/>
    <x v="3"/>
    <x v="6"/>
    <x v="4"/>
    <n v="1"/>
    <n v="3734"/>
    <n v="0"/>
    <x v="139"/>
    <x v="4"/>
    <x v="0"/>
    <x v="4"/>
    <x v="5"/>
    <n v="3734"/>
    <n v="0"/>
    <n v="3734"/>
  </r>
  <r>
    <n v="10322"/>
    <s v="Pooja Nair"/>
    <s v="pooja.nair@gmail.com"/>
    <n v="9810054432"/>
    <x v="4"/>
    <x v="3"/>
    <x v="8"/>
    <x v="3"/>
    <n v="3"/>
    <n v="34236"/>
    <n v="10"/>
    <x v="140"/>
    <x v="3"/>
    <x v="0"/>
    <x v="3"/>
    <x v="4"/>
    <n v="102708"/>
    <n v="10270.799999999999"/>
    <n v="92437.2"/>
  </r>
  <r>
    <n v="10020"/>
    <s v="Amit Malhotra"/>
    <s v="amit.malhotra@gamil.com"/>
    <n v="9212400119"/>
    <x v="0"/>
    <x v="0"/>
    <x v="3"/>
    <x v="2"/>
    <n v="3"/>
    <n v="576"/>
    <n v="0"/>
    <x v="39"/>
    <x v="2"/>
    <x v="1"/>
    <x v="2"/>
    <x v="5"/>
    <n v="1728"/>
    <n v="0"/>
    <n v="1728"/>
  </r>
  <r>
    <n v="10014"/>
    <s v="Sanjay Desai"/>
    <s v="N/A"/>
    <s v="Invalid"/>
    <x v="11"/>
    <x v="0"/>
    <x v="2"/>
    <x v="0"/>
    <n v="3"/>
    <n v="905"/>
    <n v="0"/>
    <x v="115"/>
    <x v="3"/>
    <x v="0"/>
    <x v="3"/>
    <x v="4"/>
    <n v="2715"/>
    <n v="0"/>
    <n v="2715"/>
  </r>
  <r>
    <n v="10321"/>
    <s v="Ajay Patel"/>
    <s v="ajay.patel@gamil.com"/>
    <s v="Invalid"/>
    <x v="8"/>
    <x v="7"/>
    <x v="8"/>
    <x v="3"/>
    <n v="3"/>
    <n v="31893"/>
    <n v="5"/>
    <x v="141"/>
    <x v="0"/>
    <x v="0"/>
    <x v="4"/>
    <x v="2"/>
    <n v="95679"/>
    <n v="4783.95"/>
    <n v="90895.05"/>
  </r>
  <r>
    <n v="10197"/>
    <s v="Amit Agarwal"/>
    <s v="amit.agarwal@gamil.com"/>
    <n v="9143247928"/>
    <x v="11"/>
    <x v="0"/>
    <x v="14"/>
    <x v="0"/>
    <n v="4"/>
    <n v="1337"/>
    <n v="5"/>
    <x v="142"/>
    <x v="2"/>
    <x v="0"/>
    <x v="0"/>
    <x v="1"/>
    <n v="5348"/>
    <n v="267.39999999999998"/>
    <n v="5080.6000000000004"/>
  </r>
  <r>
    <n v="10074"/>
    <s v="Amit Reddy"/>
    <s v="amit.reddy@gamil.com"/>
    <n v="9676465630"/>
    <x v="6"/>
    <x v="5"/>
    <x v="5"/>
    <x v="3"/>
    <n v="5"/>
    <n v="48728"/>
    <n v="0"/>
    <x v="143"/>
    <x v="1"/>
    <x v="0"/>
    <x v="4"/>
    <x v="1"/>
    <n v="243640"/>
    <n v="0"/>
    <n v="243640"/>
  </r>
  <r>
    <n v="10436"/>
    <s v="Amit Bhatt"/>
    <s v="amit.bhatt@gamil.com"/>
    <n v="9714024604"/>
    <x v="11"/>
    <x v="0"/>
    <x v="10"/>
    <x v="4"/>
    <n v="3"/>
    <n v="1410"/>
    <n v="20"/>
    <x v="144"/>
    <x v="3"/>
    <x v="0"/>
    <x v="1"/>
    <x v="2"/>
    <n v="4230"/>
    <n v="846"/>
    <n v="3384"/>
  </r>
  <r>
    <n v="10064"/>
    <s v="Neha Bhatt"/>
    <s v="neha.bhatt@gamil.com"/>
    <n v="9531980207"/>
    <x v="3"/>
    <x v="0"/>
    <x v="8"/>
    <x v="3"/>
    <n v="5"/>
    <n v="20466"/>
    <n v="0"/>
    <x v="145"/>
    <x v="4"/>
    <x v="2"/>
    <x v="4"/>
    <x v="3"/>
    <n v="102330"/>
    <n v="0"/>
    <n v="102330"/>
  </r>
  <r>
    <n v="10298"/>
    <s v="Arjun Agarwal"/>
    <s v="N/A"/>
    <n v="9522897890"/>
    <x v="11"/>
    <x v="0"/>
    <x v="2"/>
    <x v="0"/>
    <n v="4"/>
    <n v="1735"/>
    <n v="0"/>
    <x v="146"/>
    <x v="4"/>
    <x v="2"/>
    <x v="4"/>
    <x v="5"/>
    <n v="6940"/>
    <n v="0"/>
    <n v="6940"/>
  </r>
  <r>
    <n v="10038"/>
    <s v="Swati Verma"/>
    <s v="swati.verma@gamil.com"/>
    <n v="9728866278"/>
    <x v="1"/>
    <x v="1"/>
    <x v="5"/>
    <x v="3"/>
    <n v="2"/>
    <n v="56284"/>
    <n v="20"/>
    <x v="147"/>
    <x v="0"/>
    <x v="0"/>
    <x v="3"/>
    <x v="5"/>
    <n v="112568"/>
    <n v="22513.599999999999"/>
    <n v="90054.399999999994"/>
  </r>
  <r>
    <n v="10047"/>
    <s v="Ritu Joshi"/>
    <s v="ritu.joshi@gamil.com"/>
    <n v="9900405988"/>
    <x v="3"/>
    <x v="0"/>
    <x v="12"/>
    <x v="5"/>
    <n v="2"/>
    <n v="303"/>
    <n v="0"/>
    <x v="148"/>
    <x v="2"/>
    <x v="0"/>
    <x v="2"/>
    <x v="1"/>
    <n v="606"/>
    <n v="0"/>
    <n v="606"/>
  </r>
  <r>
    <n v="10019"/>
    <s v="Pooja Rao"/>
    <s v="pooja.rao@gamil.com"/>
    <n v="9100354435"/>
    <x v="3"/>
    <x v="0"/>
    <x v="3"/>
    <x v="2"/>
    <n v="1"/>
    <n v="243"/>
    <n v="0"/>
    <x v="149"/>
    <x v="0"/>
    <x v="0"/>
    <x v="3"/>
    <x v="3"/>
    <n v="243"/>
    <n v="0"/>
    <n v="243"/>
  </r>
  <r>
    <n v="10315"/>
    <s v="Sanjay Agarwal"/>
    <s v="sanjay.agarwal@gamil.com"/>
    <n v="9284698769"/>
    <x v="0"/>
    <x v="0"/>
    <x v="0"/>
    <x v="0"/>
    <n v="5"/>
    <n v="725"/>
    <n v="0"/>
    <x v="150"/>
    <x v="3"/>
    <x v="0"/>
    <x v="3"/>
    <x v="1"/>
    <n v="3625"/>
    <n v="0"/>
    <n v="3625"/>
  </r>
  <r>
    <n v="10111"/>
    <s v="Kavita Reddy"/>
    <s v="kavita.reddy@gamil.com"/>
    <n v="9890106903"/>
    <x v="10"/>
    <x v="8"/>
    <x v="12"/>
    <x v="5"/>
    <n v="5"/>
    <n v="218"/>
    <n v="20"/>
    <x v="113"/>
    <x v="2"/>
    <x v="0"/>
    <x v="0"/>
    <x v="4"/>
    <n v="1090"/>
    <n v="218"/>
    <n v="872"/>
  </r>
  <r>
    <n v="10382"/>
    <s v="Rohit Shah"/>
    <s v="rohit.shah@gamil.com"/>
    <n v="9587889081"/>
    <x v="4"/>
    <x v="3"/>
    <x v="7"/>
    <x v="3"/>
    <n v="2"/>
    <n v="6236"/>
    <n v="0"/>
    <x v="151"/>
    <x v="4"/>
    <x v="0"/>
    <x v="3"/>
    <x v="4"/>
    <n v="12472"/>
    <n v="0"/>
    <n v="12472"/>
  </r>
  <r>
    <n v="10394"/>
    <s v="Vikram Agarwal"/>
    <s v="vikram.agarwal@gamil.com"/>
    <n v="9985118217"/>
    <x v="5"/>
    <x v="4"/>
    <x v="7"/>
    <x v="3"/>
    <n v="4"/>
    <n v="10086"/>
    <n v="15"/>
    <x v="152"/>
    <x v="4"/>
    <x v="0"/>
    <x v="1"/>
    <x v="4"/>
    <n v="40344"/>
    <n v="6051.6"/>
    <n v="34292.400000000001"/>
  </r>
  <r>
    <n v="10351"/>
    <s v="Ajay Gupta"/>
    <s v="N/A"/>
    <n v="9511016062"/>
    <x v="6"/>
    <x v="5"/>
    <x v="1"/>
    <x v="1"/>
    <n v="4"/>
    <n v="164"/>
    <n v="0"/>
    <x v="153"/>
    <x v="1"/>
    <x v="0"/>
    <x v="2"/>
    <x v="1"/>
    <n v="656"/>
    <n v="0"/>
    <n v="656"/>
  </r>
  <r>
    <n v="10482"/>
    <s v="Suresh Malhotra"/>
    <s v="suresh.malhotra@gamil.com"/>
    <s v="Invalid"/>
    <x v="2"/>
    <x v="2"/>
    <x v="13"/>
    <x v="3"/>
    <n v="2"/>
    <n v="2396"/>
    <n v="20"/>
    <x v="104"/>
    <x v="0"/>
    <x v="0"/>
    <x v="2"/>
    <x v="1"/>
    <n v="4792"/>
    <n v="958.4"/>
    <n v="3833.6"/>
  </r>
  <r>
    <n v="10021"/>
    <s v="Kavita Mehta"/>
    <s v="kavita.mehta@gamil.com"/>
    <n v="9103793379"/>
    <x v="0"/>
    <x v="0"/>
    <x v="0"/>
    <x v="0"/>
    <n v="3"/>
    <n v="1197"/>
    <n v="5"/>
    <x v="154"/>
    <x v="3"/>
    <x v="0"/>
    <x v="0"/>
    <x v="3"/>
    <n v="3591"/>
    <n v="179.55"/>
    <n v="3411.45"/>
  </r>
  <r>
    <n v="10467"/>
    <s v="Ritu Singh"/>
    <s v="N/A"/>
    <n v="9893061968"/>
    <x v="10"/>
    <x v="8"/>
    <x v="8"/>
    <x v="3"/>
    <n v="2"/>
    <n v="15588"/>
    <n v="0"/>
    <x v="66"/>
    <x v="3"/>
    <x v="0"/>
    <x v="3"/>
    <x v="4"/>
    <n v="31176"/>
    <n v="0"/>
    <n v="31176"/>
  </r>
  <r>
    <n v="10072"/>
    <s v="Vikram Agarwal"/>
    <s v="vikram.agarwal@gamil.com"/>
    <s v="Invalid"/>
    <x v="7"/>
    <x v="6"/>
    <x v="5"/>
    <x v="3"/>
    <n v="5"/>
    <n v="50234"/>
    <n v="15"/>
    <x v="155"/>
    <x v="4"/>
    <x v="0"/>
    <x v="1"/>
    <x v="4"/>
    <n v="251170"/>
    <n v="37675.5"/>
    <n v="213494.5"/>
  </r>
  <r>
    <n v="10101"/>
    <s v="Sneha Gupta"/>
    <s v="sneha.gupta@gamil.com"/>
    <n v="9616196985"/>
    <x v="0"/>
    <x v="0"/>
    <x v="6"/>
    <x v="4"/>
    <n v="1"/>
    <n v="3719"/>
    <n v="0"/>
    <x v="156"/>
    <x v="0"/>
    <x v="0"/>
    <x v="3"/>
    <x v="4"/>
    <n v="3719"/>
    <n v="0"/>
    <n v="3719"/>
  </r>
  <r>
    <n v="10120"/>
    <s v="Amit Agarwal"/>
    <s v="amit.agarwal@gmail.com"/>
    <n v="9299010179"/>
    <x v="8"/>
    <x v="7"/>
    <x v="11"/>
    <x v="3"/>
    <n v="4"/>
    <n v="18293"/>
    <n v="10"/>
    <x v="37"/>
    <x v="3"/>
    <x v="1"/>
    <x v="3"/>
    <x v="5"/>
    <n v="73172"/>
    <n v="7317.2"/>
    <n v="65854.8"/>
  </r>
  <r>
    <n v="10363"/>
    <s v="Ritu Singh"/>
    <s v="ritu.singh@gamil.com"/>
    <n v="9866343133"/>
    <x v="2"/>
    <x v="2"/>
    <x v="13"/>
    <x v="3"/>
    <n v="1"/>
    <n v="2174"/>
    <n v="0"/>
    <x v="157"/>
    <x v="1"/>
    <x v="0"/>
    <x v="4"/>
    <x v="1"/>
    <n v="2174"/>
    <n v="0"/>
    <n v="2174"/>
  </r>
  <r>
    <n v="10194"/>
    <s v="Aarav Mehta"/>
    <s v="aarav.mehta@gamil.com"/>
    <n v="9291987067"/>
    <x v="2"/>
    <x v="2"/>
    <x v="11"/>
    <x v="3"/>
    <n v="5"/>
    <n v="26534"/>
    <n v="15"/>
    <x v="158"/>
    <x v="0"/>
    <x v="0"/>
    <x v="2"/>
    <x v="1"/>
    <n v="132670"/>
    <n v="19900.5"/>
    <n v="112769.5"/>
  </r>
  <r>
    <n v="10092"/>
    <s v="Vikram Sharma"/>
    <s v="vikram.sharma@gamil.com"/>
    <n v="9270505471"/>
    <x v="9"/>
    <x v="3"/>
    <x v="6"/>
    <x v="4"/>
    <n v="1"/>
    <n v="2379"/>
    <n v="15"/>
    <x v="25"/>
    <x v="4"/>
    <x v="1"/>
    <x v="3"/>
    <x v="2"/>
    <n v="2379"/>
    <n v="356.85"/>
    <n v="2022.15"/>
  </r>
  <r>
    <n v="10301"/>
    <s v="Pooja Desai"/>
    <s v="pooja.desai@gamil.com"/>
    <n v="9764752200"/>
    <x v="2"/>
    <x v="2"/>
    <x v="0"/>
    <x v="0"/>
    <n v="1"/>
    <n v="1004"/>
    <n v="0"/>
    <x v="159"/>
    <x v="3"/>
    <x v="0"/>
    <x v="0"/>
    <x v="2"/>
    <n v="1004"/>
    <n v="0"/>
    <n v="1004"/>
  </r>
  <r>
    <n v="10062"/>
    <s v="Suresh Patel"/>
    <s v="suresh.patel@gamil.com"/>
    <n v="9535728903"/>
    <x v="5"/>
    <x v="4"/>
    <x v="0"/>
    <x v="0"/>
    <n v="5"/>
    <n v="1414"/>
    <n v="5"/>
    <x v="160"/>
    <x v="1"/>
    <x v="0"/>
    <x v="2"/>
    <x v="2"/>
    <n v="7070"/>
    <n v="353.5"/>
    <n v="6716.5"/>
  </r>
  <r>
    <n v="10122"/>
    <s v="Divya Shah"/>
    <s v="divya.shah@gamil.com"/>
    <n v="9979708597"/>
    <x v="8"/>
    <x v="7"/>
    <x v="2"/>
    <x v="0"/>
    <n v="2"/>
    <n v="1280"/>
    <n v="0"/>
    <x v="161"/>
    <x v="3"/>
    <x v="0"/>
    <x v="2"/>
    <x v="1"/>
    <n v="2560"/>
    <n v="0"/>
    <n v="2560"/>
  </r>
  <r>
    <n v="10013"/>
    <s v="Sanjay Patel"/>
    <s v="sanjay.patel@gmail.com"/>
    <n v="9481477188"/>
    <x v="2"/>
    <x v="2"/>
    <x v="12"/>
    <x v="5"/>
    <n v="5"/>
    <n v="539"/>
    <n v="0"/>
    <x v="162"/>
    <x v="1"/>
    <x v="0"/>
    <x v="1"/>
    <x v="0"/>
    <n v="2695"/>
    <n v="0"/>
    <n v="2695"/>
  </r>
  <r>
    <n v="10253"/>
    <s v="Amit Reddy"/>
    <s v="amit.reddy@gamil.com"/>
    <s v="Invalid"/>
    <x v="10"/>
    <x v="8"/>
    <x v="13"/>
    <x v="3"/>
    <n v="4"/>
    <n v="3269"/>
    <n v="0"/>
    <x v="154"/>
    <x v="4"/>
    <x v="0"/>
    <x v="5"/>
    <x v="1"/>
    <n v="13076"/>
    <n v="0"/>
    <n v="13076"/>
  </r>
  <r>
    <n v="10450"/>
    <s v="Arjun Malhotra"/>
    <s v="arjun.malhotra@gmail.com"/>
    <n v="9307166098"/>
    <x v="11"/>
    <x v="0"/>
    <x v="6"/>
    <x v="4"/>
    <n v="2"/>
    <n v="2297"/>
    <n v="10"/>
    <x v="163"/>
    <x v="1"/>
    <x v="0"/>
    <x v="5"/>
    <x v="3"/>
    <n v="4594"/>
    <n v="459.4"/>
    <n v="4134.6000000000004"/>
  </r>
  <r>
    <n v="10090"/>
    <s v="Deepak Verma"/>
    <s v="deepak.verma@gamil.com"/>
    <s v="Invalid"/>
    <x v="5"/>
    <x v="4"/>
    <x v="14"/>
    <x v="0"/>
    <n v="1"/>
    <n v="1035"/>
    <n v="0"/>
    <x v="164"/>
    <x v="0"/>
    <x v="0"/>
    <x v="3"/>
    <x v="5"/>
    <n v="1035"/>
    <n v="0"/>
    <n v="1035"/>
  </r>
  <r>
    <n v="10329"/>
    <s v="Rahul Singh"/>
    <s v="rahul.singh@gamil.com"/>
    <n v="9984935328"/>
    <x v="1"/>
    <x v="1"/>
    <x v="9"/>
    <x v="5"/>
    <n v="5"/>
    <n v="993"/>
    <n v="5"/>
    <x v="165"/>
    <x v="0"/>
    <x v="0"/>
    <x v="5"/>
    <x v="4"/>
    <n v="4965"/>
    <n v="248.25"/>
    <n v="4716.75"/>
  </r>
  <r>
    <n v="10081"/>
    <s v="Neha Nair"/>
    <s v="neha.nair@gamil.com"/>
    <n v="9935833886"/>
    <x v="4"/>
    <x v="3"/>
    <x v="6"/>
    <x v="4"/>
    <n v="4"/>
    <n v="4848"/>
    <n v="5"/>
    <x v="166"/>
    <x v="4"/>
    <x v="0"/>
    <x v="1"/>
    <x v="1"/>
    <n v="19392"/>
    <n v="969.6"/>
    <n v="18422.400000000001"/>
  </r>
  <r>
    <n v="10332"/>
    <s v="Pooja Yadav"/>
    <s v="pooja.yadav@gamil.com"/>
    <n v="9125612612"/>
    <x v="8"/>
    <x v="7"/>
    <x v="3"/>
    <x v="2"/>
    <n v="5"/>
    <n v="493"/>
    <n v="20"/>
    <x v="42"/>
    <x v="1"/>
    <x v="0"/>
    <x v="1"/>
    <x v="0"/>
    <n v="2465"/>
    <n v="493"/>
    <n v="1972"/>
  </r>
  <r>
    <n v="10429"/>
    <s v="Pooja Patel"/>
    <s v="pooja.patel@gamil.com"/>
    <n v="9543793347"/>
    <x v="0"/>
    <x v="0"/>
    <x v="10"/>
    <x v="4"/>
    <n v="2"/>
    <n v="424"/>
    <n v="10"/>
    <x v="46"/>
    <x v="0"/>
    <x v="0"/>
    <x v="2"/>
    <x v="1"/>
    <n v="848"/>
    <n v="84.8"/>
    <n v="763.2"/>
  </r>
  <r>
    <n v="10470"/>
    <s v="Rahul Verma"/>
    <s v="rahul.verma@gamil.com"/>
    <n v="9312793303"/>
    <x v="10"/>
    <x v="8"/>
    <x v="12"/>
    <x v="5"/>
    <n v="5"/>
    <n v="513"/>
    <n v="0"/>
    <x v="167"/>
    <x v="1"/>
    <x v="0"/>
    <x v="5"/>
    <x v="4"/>
    <n v="2565"/>
    <n v="0"/>
    <n v="2565"/>
  </r>
  <r>
    <n v="10476"/>
    <s v="Ajay Kapoor"/>
    <s v="ajay.kapoor@gmail.com"/>
    <s v="Invalid"/>
    <x v="6"/>
    <x v="5"/>
    <x v="13"/>
    <x v="3"/>
    <n v="3"/>
    <n v="2584"/>
    <n v="15"/>
    <x v="107"/>
    <x v="1"/>
    <x v="0"/>
    <x v="0"/>
    <x v="1"/>
    <n v="7752"/>
    <n v="1162.8"/>
    <n v="6589.2"/>
  </r>
  <r>
    <n v="10005"/>
    <s v="Rohit Kumar"/>
    <s v="rohit.kumar@gamil.com"/>
    <s v="Invalid"/>
    <x v="1"/>
    <x v="1"/>
    <x v="3"/>
    <x v="2"/>
    <n v="2"/>
    <n v="746"/>
    <n v="0"/>
    <x v="168"/>
    <x v="3"/>
    <x v="0"/>
    <x v="1"/>
    <x v="1"/>
    <n v="1492"/>
    <n v="0"/>
    <n v="1492"/>
  </r>
  <r>
    <n v="10079"/>
    <s v="Sanjay Malhotra"/>
    <s v="sanjay.malhotra@gamil.com"/>
    <n v="9170659454"/>
    <x v="2"/>
    <x v="2"/>
    <x v="14"/>
    <x v="0"/>
    <n v="3"/>
    <n v="2305"/>
    <n v="15"/>
    <x v="103"/>
    <x v="3"/>
    <x v="2"/>
    <x v="1"/>
    <x v="4"/>
    <n v="6915"/>
    <n v="1037.25"/>
    <n v="5877.75"/>
  </r>
  <r>
    <n v="10367"/>
    <s v="Arjun Chopra"/>
    <s v="arjun.chopra@gamil.com"/>
    <n v="9254464500"/>
    <x v="7"/>
    <x v="6"/>
    <x v="14"/>
    <x v="0"/>
    <n v="5"/>
    <n v="1816"/>
    <n v="10"/>
    <x v="169"/>
    <x v="1"/>
    <x v="0"/>
    <x v="4"/>
    <x v="5"/>
    <n v="9080"/>
    <n v="908"/>
    <n v="8172"/>
  </r>
  <r>
    <n v="10460"/>
    <s v="Swati Yadav"/>
    <s v="N/A"/>
    <n v="9935431932"/>
    <x v="9"/>
    <x v="3"/>
    <x v="0"/>
    <x v="0"/>
    <n v="3"/>
    <n v="1095"/>
    <n v="0"/>
    <x v="161"/>
    <x v="3"/>
    <x v="0"/>
    <x v="2"/>
    <x v="5"/>
    <n v="3285"/>
    <n v="0"/>
    <n v="3285"/>
  </r>
  <r>
    <n v="10028"/>
    <s v="Priya Mehta"/>
    <s v="priya.mehta@gamil.com"/>
    <n v="9280764555"/>
    <x v="5"/>
    <x v="4"/>
    <x v="10"/>
    <x v="4"/>
    <n v="4"/>
    <n v="655"/>
    <n v="0"/>
    <x v="126"/>
    <x v="3"/>
    <x v="0"/>
    <x v="2"/>
    <x v="5"/>
    <n v="2620"/>
    <n v="0"/>
    <n v="2620"/>
  </r>
  <r>
    <n v="10335"/>
    <s v="Swati Verma"/>
    <s v="N/A"/>
    <n v="9935208824"/>
    <x v="3"/>
    <x v="0"/>
    <x v="11"/>
    <x v="3"/>
    <n v="2"/>
    <n v="26638"/>
    <n v="5"/>
    <x v="170"/>
    <x v="2"/>
    <x v="0"/>
    <x v="5"/>
    <x v="0"/>
    <n v="53276"/>
    <n v="2663.8"/>
    <n v="50612.2"/>
  </r>
  <r>
    <n v="10233"/>
    <s v="Priya Desai"/>
    <s v="priya.desai@gamil.com"/>
    <n v="9237916858"/>
    <x v="8"/>
    <x v="7"/>
    <x v="12"/>
    <x v="5"/>
    <n v="1"/>
    <n v="215"/>
    <n v="0"/>
    <x v="107"/>
    <x v="2"/>
    <x v="0"/>
    <x v="0"/>
    <x v="3"/>
    <n v="215"/>
    <n v="0"/>
    <n v="215"/>
  </r>
  <r>
    <n v="10205"/>
    <s v="Vikram Sharma"/>
    <s v="vikram.sharma@gamil.com"/>
    <s v="Invalid"/>
    <x v="7"/>
    <x v="6"/>
    <x v="13"/>
    <x v="3"/>
    <n v="2"/>
    <n v="1685"/>
    <n v="20"/>
    <x v="171"/>
    <x v="3"/>
    <x v="0"/>
    <x v="4"/>
    <x v="5"/>
    <n v="3370"/>
    <n v="674"/>
    <n v="2696"/>
  </r>
  <r>
    <n v="10117"/>
    <s v="Rahul Mehta"/>
    <s v="rahul.mehta@gamil.com"/>
    <n v="9689233432"/>
    <x v="7"/>
    <x v="6"/>
    <x v="13"/>
    <x v="3"/>
    <n v="5"/>
    <n v="3269"/>
    <n v="0"/>
    <x v="143"/>
    <x v="3"/>
    <x v="0"/>
    <x v="1"/>
    <x v="5"/>
    <n v="16345"/>
    <n v="0"/>
    <n v="16345"/>
  </r>
  <r>
    <n v="10339"/>
    <s v="Pooja Desai"/>
    <s v="pooja.desai@gamil.com"/>
    <n v="9610489751"/>
    <x v="10"/>
    <x v="8"/>
    <x v="10"/>
    <x v="4"/>
    <n v="5"/>
    <n v="634"/>
    <n v="15"/>
    <x v="57"/>
    <x v="2"/>
    <x v="0"/>
    <x v="1"/>
    <x v="4"/>
    <n v="3170"/>
    <n v="475.5"/>
    <n v="2694.5"/>
  </r>
  <r>
    <n v="10385"/>
    <s v="Divya Chopra"/>
    <s v="N/A"/>
    <n v="9403341050"/>
    <x v="8"/>
    <x v="7"/>
    <x v="7"/>
    <x v="3"/>
    <n v="5"/>
    <n v="10475"/>
    <n v="5"/>
    <x v="57"/>
    <x v="3"/>
    <x v="0"/>
    <x v="4"/>
    <x v="0"/>
    <n v="52375"/>
    <n v="2618.75"/>
    <n v="49756.25"/>
  </r>
  <r>
    <n v="10226"/>
    <s v="Rahul Patel"/>
    <s v="rahul.patel@gamil.com"/>
    <n v="9750358361"/>
    <x v="8"/>
    <x v="7"/>
    <x v="8"/>
    <x v="3"/>
    <n v="5"/>
    <n v="14028"/>
    <n v="5"/>
    <x v="172"/>
    <x v="1"/>
    <x v="0"/>
    <x v="3"/>
    <x v="3"/>
    <n v="70140"/>
    <n v="3507"/>
    <n v="66633"/>
  </r>
  <r>
    <n v="10481"/>
    <s v="Suresh Chopra"/>
    <s v="suresh.chopra@gamil.com"/>
    <s v="Invalid"/>
    <x v="9"/>
    <x v="3"/>
    <x v="3"/>
    <x v="2"/>
    <n v="3"/>
    <n v="403"/>
    <n v="5"/>
    <x v="162"/>
    <x v="1"/>
    <x v="0"/>
    <x v="0"/>
    <x v="1"/>
    <n v="1209"/>
    <n v="60.45"/>
    <n v="1148.55"/>
  </r>
  <r>
    <n v="10017"/>
    <s v="Ajay Shah"/>
    <s v="ajay.shah@gamil.com"/>
    <n v="9466283190"/>
    <x v="3"/>
    <x v="0"/>
    <x v="13"/>
    <x v="3"/>
    <n v="3"/>
    <n v="3571"/>
    <n v="0"/>
    <x v="147"/>
    <x v="0"/>
    <x v="0"/>
    <x v="5"/>
    <x v="2"/>
    <n v="10713"/>
    <n v="0"/>
    <n v="10713"/>
  </r>
  <r>
    <n v="10303"/>
    <s v="Suresh Patel"/>
    <s v="suresh.patel@gamil.com"/>
    <s v="Invalid"/>
    <x v="1"/>
    <x v="1"/>
    <x v="8"/>
    <x v="3"/>
    <n v="2"/>
    <n v="29461"/>
    <n v="0"/>
    <x v="108"/>
    <x v="2"/>
    <x v="0"/>
    <x v="5"/>
    <x v="2"/>
    <n v="58922"/>
    <n v="0"/>
    <n v="58922"/>
  </r>
  <r>
    <n v="10007"/>
    <s v="Aarav Malhotra"/>
    <s v="aarav.malhotra@gamil.com"/>
    <n v="9269980483"/>
    <x v="1"/>
    <x v="1"/>
    <x v="2"/>
    <x v="0"/>
    <n v="5"/>
    <n v="1590"/>
    <n v="20"/>
    <x v="144"/>
    <x v="3"/>
    <x v="0"/>
    <x v="5"/>
    <x v="2"/>
    <n v="7950"/>
    <n v="1590"/>
    <n v="6360"/>
  </r>
  <r>
    <n v="10210"/>
    <s v="Amit Shah"/>
    <s v="amit.shah@gamil.com"/>
    <n v="9589101258"/>
    <x v="11"/>
    <x v="0"/>
    <x v="8"/>
    <x v="3"/>
    <n v="4"/>
    <n v="26416"/>
    <n v="5"/>
    <x v="2"/>
    <x v="2"/>
    <x v="0"/>
    <x v="5"/>
    <x v="3"/>
    <n v="105664"/>
    <n v="5283.2"/>
    <n v="100380.8"/>
  </r>
  <r>
    <n v="10499"/>
    <s v="Amit Nair"/>
    <s v="amit.nair@gamil.com"/>
    <n v="9408049449"/>
    <x v="1"/>
    <x v="1"/>
    <x v="6"/>
    <x v="4"/>
    <n v="4"/>
    <n v="4804"/>
    <n v="0"/>
    <x v="57"/>
    <x v="1"/>
    <x v="0"/>
    <x v="0"/>
    <x v="5"/>
    <n v="19216"/>
    <n v="0"/>
    <n v="19216"/>
  </r>
  <r>
    <n v="10036"/>
    <s v="Ajay Patel"/>
    <s v="ajay.patel@gamil.com"/>
    <n v="9823531862"/>
    <x v="5"/>
    <x v="4"/>
    <x v="12"/>
    <x v="5"/>
    <n v="3"/>
    <n v="415"/>
    <n v="15"/>
    <x v="29"/>
    <x v="3"/>
    <x v="0"/>
    <x v="2"/>
    <x v="0"/>
    <n v="1245"/>
    <n v="186.75"/>
    <n v="1058.25"/>
  </r>
  <r>
    <n v="10290"/>
    <s v="Priya Reddy"/>
    <s v="priya.reddy@gmail.com"/>
    <n v="9146031615"/>
    <x v="1"/>
    <x v="1"/>
    <x v="5"/>
    <x v="3"/>
    <n v="2"/>
    <n v="54723"/>
    <n v="0"/>
    <x v="173"/>
    <x v="2"/>
    <x v="0"/>
    <x v="3"/>
    <x v="5"/>
    <n v="109446"/>
    <n v="0"/>
    <n v="109446"/>
  </r>
  <r>
    <n v="10324"/>
    <s v="Pooja Rao"/>
    <s v="pooja.rao@gamil.com"/>
    <n v="9660557847"/>
    <x v="9"/>
    <x v="3"/>
    <x v="12"/>
    <x v="5"/>
    <n v="4"/>
    <n v="164"/>
    <n v="0"/>
    <x v="104"/>
    <x v="3"/>
    <x v="0"/>
    <x v="4"/>
    <x v="5"/>
    <n v="656"/>
    <n v="0"/>
    <n v="656"/>
  </r>
  <r>
    <n v="10444"/>
    <s v="Anita Kapoor"/>
    <s v="N/A"/>
    <n v="9777613979"/>
    <x v="2"/>
    <x v="2"/>
    <x v="14"/>
    <x v="0"/>
    <n v="3"/>
    <n v="2196"/>
    <n v="0"/>
    <x v="82"/>
    <x v="3"/>
    <x v="0"/>
    <x v="3"/>
    <x v="0"/>
    <n v="6588"/>
    <n v="0"/>
    <n v="6588"/>
  </r>
  <r>
    <n v="10340"/>
    <s v="Divya Gupta"/>
    <s v="divya.gupta@gamil.com"/>
    <s v="Invalid"/>
    <x v="5"/>
    <x v="4"/>
    <x v="3"/>
    <x v="2"/>
    <n v="2"/>
    <n v="212"/>
    <n v="5"/>
    <x v="100"/>
    <x v="0"/>
    <x v="0"/>
    <x v="3"/>
    <x v="3"/>
    <n v="424"/>
    <n v="21.2"/>
    <n v="402.8"/>
  </r>
  <r>
    <n v="10218"/>
    <s v="Rahul Singh"/>
    <s v="rahul.singh@gamil.com"/>
    <n v="9410817778"/>
    <x v="8"/>
    <x v="7"/>
    <x v="8"/>
    <x v="3"/>
    <n v="2"/>
    <n v="19287"/>
    <n v="5"/>
    <x v="75"/>
    <x v="1"/>
    <x v="0"/>
    <x v="3"/>
    <x v="0"/>
    <n v="38574"/>
    <n v="1928.7"/>
    <n v="36645.300000000003"/>
  </r>
  <r>
    <n v="10071"/>
    <s v="Vikram Sharma"/>
    <s v="vikram.sharma@gamil.com"/>
    <n v="9594229486"/>
    <x v="9"/>
    <x v="3"/>
    <x v="13"/>
    <x v="3"/>
    <n v="4"/>
    <n v="2229"/>
    <n v="0"/>
    <x v="174"/>
    <x v="1"/>
    <x v="0"/>
    <x v="4"/>
    <x v="0"/>
    <n v="8916"/>
    <n v="0"/>
    <n v="8916"/>
  </r>
  <r>
    <n v="10275"/>
    <s v="Vikram Kumar"/>
    <s v="vikram.kumar@gamil.com"/>
    <n v="9295723142"/>
    <x v="7"/>
    <x v="6"/>
    <x v="14"/>
    <x v="0"/>
    <n v="5"/>
    <n v="869"/>
    <n v="0"/>
    <x v="175"/>
    <x v="3"/>
    <x v="0"/>
    <x v="0"/>
    <x v="2"/>
    <n v="4345"/>
    <n v="0"/>
    <n v="4345"/>
  </r>
  <r>
    <n v="10441"/>
    <s v="Pooja Desai"/>
    <s v="pooja.desai@gmail.com"/>
    <n v="9835305412"/>
    <x v="7"/>
    <x v="6"/>
    <x v="14"/>
    <x v="0"/>
    <n v="5"/>
    <n v="1708"/>
    <n v="5"/>
    <x v="176"/>
    <x v="0"/>
    <x v="0"/>
    <x v="0"/>
    <x v="0"/>
    <n v="8540"/>
    <n v="427"/>
    <n v="8113"/>
  </r>
  <r>
    <n v="10209"/>
    <s v="Neha Kumar"/>
    <s v="neha.kumar@gamil.com"/>
    <n v="9569998234"/>
    <x v="7"/>
    <x v="6"/>
    <x v="12"/>
    <x v="5"/>
    <n v="5"/>
    <n v="195"/>
    <n v="5"/>
    <x v="152"/>
    <x v="3"/>
    <x v="0"/>
    <x v="4"/>
    <x v="5"/>
    <n v="975"/>
    <n v="48.75"/>
    <n v="926.25"/>
  </r>
  <r>
    <n v="10252"/>
    <s v="Arjun Shah"/>
    <s v="arjun.shah@gamil.com"/>
    <n v="9455051388"/>
    <x v="2"/>
    <x v="2"/>
    <x v="13"/>
    <x v="3"/>
    <n v="5"/>
    <n v="3184"/>
    <n v="0"/>
    <x v="177"/>
    <x v="2"/>
    <x v="0"/>
    <x v="0"/>
    <x v="1"/>
    <n v="15920"/>
    <n v="0"/>
    <n v="15920"/>
  </r>
  <r>
    <n v="10486"/>
    <s v="Suresh Chopra"/>
    <s v="suresh.chopra@gamil.com"/>
    <n v="9433368129"/>
    <x v="11"/>
    <x v="0"/>
    <x v="9"/>
    <x v="5"/>
    <n v="4"/>
    <n v="978"/>
    <n v="0"/>
    <x v="178"/>
    <x v="4"/>
    <x v="2"/>
    <x v="5"/>
    <x v="2"/>
    <n v="3912"/>
    <n v="0"/>
    <n v="3912"/>
  </r>
  <r>
    <n v="10139"/>
    <s v="Meena Nair"/>
    <s v="meena.nair@gamil.com"/>
    <n v="9273647152"/>
    <x v="5"/>
    <x v="4"/>
    <x v="13"/>
    <x v="3"/>
    <n v="3"/>
    <n v="3737"/>
    <n v="20"/>
    <x v="46"/>
    <x v="0"/>
    <x v="0"/>
    <x v="3"/>
    <x v="0"/>
    <n v="11211"/>
    <n v="2242.1999999999998"/>
    <n v="8968.7999999999993"/>
  </r>
  <r>
    <n v="10317"/>
    <s v="Sanjay Malhotra"/>
    <s v="sanjay.malhotra@gamil.com"/>
    <s v="Invalid"/>
    <x v="5"/>
    <x v="4"/>
    <x v="11"/>
    <x v="3"/>
    <n v="1"/>
    <n v="26986"/>
    <n v="0"/>
    <x v="19"/>
    <x v="0"/>
    <x v="0"/>
    <x v="0"/>
    <x v="5"/>
    <n v="26986"/>
    <n v="0"/>
    <n v="26986"/>
  </r>
  <r>
    <n v="10352"/>
    <s v="Ritu Yadav"/>
    <s v="ritu.yadav@gamil.com"/>
    <n v="9547894730"/>
    <x v="8"/>
    <x v="7"/>
    <x v="4"/>
    <x v="1"/>
    <n v="2"/>
    <n v="242"/>
    <n v="20"/>
    <x v="88"/>
    <x v="4"/>
    <x v="1"/>
    <x v="3"/>
    <x v="5"/>
    <n v="484"/>
    <n v="96.8"/>
    <n v="387.2"/>
  </r>
  <r>
    <n v="10173"/>
    <s v="Vikram Agarwal"/>
    <s v="vikram.agarwal@gamil.com"/>
    <n v="9518825140"/>
    <x v="7"/>
    <x v="6"/>
    <x v="5"/>
    <x v="3"/>
    <n v="5"/>
    <n v="45246"/>
    <n v="0"/>
    <x v="151"/>
    <x v="4"/>
    <x v="0"/>
    <x v="4"/>
    <x v="1"/>
    <n v="226230"/>
    <n v="0"/>
    <n v="226230"/>
  </r>
  <r>
    <n v="10085"/>
    <s v="Ritu Singh"/>
    <s v="ritu.singh@gamil.com"/>
    <s v="Invalid"/>
    <x v="3"/>
    <x v="0"/>
    <x v="6"/>
    <x v="4"/>
    <n v="2"/>
    <n v="4115"/>
    <n v="20"/>
    <x v="179"/>
    <x v="2"/>
    <x v="0"/>
    <x v="3"/>
    <x v="3"/>
    <n v="8230"/>
    <n v="1646"/>
    <n v="6584"/>
  </r>
  <r>
    <n v="10294"/>
    <s v="Priya Desai"/>
    <s v="priya.desai@gamil.com"/>
    <n v="9845996928"/>
    <x v="11"/>
    <x v="0"/>
    <x v="4"/>
    <x v="1"/>
    <n v="4"/>
    <n v="368"/>
    <n v="20"/>
    <x v="180"/>
    <x v="3"/>
    <x v="0"/>
    <x v="2"/>
    <x v="4"/>
    <n v="1472"/>
    <n v="294.39999999999998"/>
    <n v="1177.5999999999999"/>
  </r>
  <r>
    <n v="10402"/>
    <s v="Kavita Patel"/>
    <s v="kavita.patel@gamil.com"/>
    <n v="9998463507"/>
    <x v="10"/>
    <x v="8"/>
    <x v="9"/>
    <x v="5"/>
    <n v="5"/>
    <n v="781"/>
    <n v="0"/>
    <x v="123"/>
    <x v="4"/>
    <x v="0"/>
    <x v="3"/>
    <x v="0"/>
    <n v="3905"/>
    <n v="0"/>
    <n v="3905"/>
  </r>
  <r>
    <n v="10410"/>
    <s v="Pooja Nair"/>
    <s v="pooja.nair@gamil.com"/>
    <n v="9295651648"/>
    <x v="8"/>
    <x v="7"/>
    <x v="11"/>
    <x v="3"/>
    <n v="5"/>
    <n v="18558"/>
    <n v="15"/>
    <x v="181"/>
    <x v="0"/>
    <x v="0"/>
    <x v="3"/>
    <x v="1"/>
    <n v="92790"/>
    <n v="13918.5"/>
    <n v="78871.5"/>
  </r>
  <r>
    <n v="10484"/>
    <s v="Meena Reddy"/>
    <s v="meena.reddy@gmail.com"/>
    <n v="9253404039"/>
    <x v="1"/>
    <x v="1"/>
    <x v="5"/>
    <x v="3"/>
    <n v="4"/>
    <n v="59452"/>
    <n v="0"/>
    <x v="123"/>
    <x v="2"/>
    <x v="0"/>
    <x v="1"/>
    <x v="1"/>
    <n v="237808"/>
    <n v="0"/>
    <n v="237808"/>
  </r>
  <r>
    <n v="10082"/>
    <s v="Rohit Patel"/>
    <s v="rohit.patel@gamil.com"/>
    <n v="9763230761"/>
    <x v="9"/>
    <x v="3"/>
    <x v="13"/>
    <x v="3"/>
    <n v="5"/>
    <n v="3630"/>
    <n v="10"/>
    <x v="159"/>
    <x v="4"/>
    <x v="0"/>
    <x v="2"/>
    <x v="2"/>
    <n v="18150"/>
    <n v="1815"/>
    <n v="16335"/>
  </r>
  <r>
    <n v="10333"/>
    <s v="Swati Verma"/>
    <s v="swati.verma@gamil.com"/>
    <n v="9798046200"/>
    <x v="11"/>
    <x v="0"/>
    <x v="1"/>
    <x v="1"/>
    <n v="3"/>
    <n v="54"/>
    <n v="5"/>
    <x v="131"/>
    <x v="4"/>
    <x v="0"/>
    <x v="2"/>
    <x v="3"/>
    <n v="162"/>
    <n v="8.1"/>
    <n v="153.9"/>
  </r>
  <r>
    <n v="10380"/>
    <s v="Vikram Desai"/>
    <s v="vikram.desai@gamil.com"/>
    <n v="9451902034"/>
    <x v="3"/>
    <x v="0"/>
    <x v="13"/>
    <x v="3"/>
    <n v="2"/>
    <n v="2922"/>
    <n v="20"/>
    <x v="98"/>
    <x v="1"/>
    <x v="0"/>
    <x v="3"/>
    <x v="2"/>
    <n v="5844"/>
    <n v="1168.8"/>
    <n v="4675.2"/>
  </r>
  <r>
    <n v="10004"/>
    <s v="Anita Verma"/>
    <s v="anita.verma@gamil.com"/>
    <n v="9880563190"/>
    <x v="5"/>
    <x v="4"/>
    <x v="9"/>
    <x v="5"/>
    <n v="1"/>
    <n v="478"/>
    <n v="0"/>
    <x v="175"/>
    <x v="1"/>
    <x v="0"/>
    <x v="3"/>
    <x v="0"/>
    <n v="478"/>
    <n v="0"/>
    <n v="478"/>
  </r>
  <r>
    <n v="10008"/>
    <s v="Rahul Malhotra"/>
    <s v="rahul.malhotra@gamil.com"/>
    <n v="9255244673"/>
    <x v="6"/>
    <x v="5"/>
    <x v="8"/>
    <x v="3"/>
    <n v="4"/>
    <n v="15494"/>
    <n v="0"/>
    <x v="139"/>
    <x v="0"/>
    <x v="0"/>
    <x v="4"/>
    <x v="1"/>
    <n v="61976"/>
    <n v="0"/>
    <n v="61976"/>
  </r>
  <r>
    <n v="10313"/>
    <s v="Arjun Chopra"/>
    <s v="arjun.chopra@gamil.com"/>
    <n v="9874226315"/>
    <x v="3"/>
    <x v="0"/>
    <x v="14"/>
    <x v="0"/>
    <n v="5"/>
    <n v="1527"/>
    <n v="0"/>
    <x v="112"/>
    <x v="4"/>
    <x v="0"/>
    <x v="0"/>
    <x v="1"/>
    <n v="7635"/>
    <n v="0"/>
    <n v="7635"/>
  </r>
  <r>
    <n v="10166"/>
    <s v="Sanjay Patel"/>
    <s v="sanjay.patel@gamil.com"/>
    <n v="9823107161"/>
    <x v="3"/>
    <x v="0"/>
    <x v="14"/>
    <x v="0"/>
    <n v="5"/>
    <n v="1643"/>
    <n v="20"/>
    <x v="182"/>
    <x v="0"/>
    <x v="0"/>
    <x v="4"/>
    <x v="4"/>
    <n v="8215"/>
    <n v="1643"/>
    <n v="6572"/>
  </r>
  <r>
    <n v="10054"/>
    <s v="Neha Kumar"/>
    <s v="neha.kumar@gamil.com"/>
    <n v="9500355617"/>
    <x v="6"/>
    <x v="5"/>
    <x v="2"/>
    <x v="0"/>
    <n v="4"/>
    <n v="948"/>
    <n v="10"/>
    <x v="98"/>
    <x v="3"/>
    <x v="0"/>
    <x v="5"/>
    <x v="3"/>
    <n v="3792"/>
    <n v="379.2"/>
    <n v="3412.8"/>
  </r>
  <r>
    <n v="10463"/>
    <s v="Neha Nair"/>
    <s v="neha.nair@gamil.com"/>
    <n v="9208728883"/>
    <x v="11"/>
    <x v="0"/>
    <x v="9"/>
    <x v="5"/>
    <n v="3"/>
    <n v="483"/>
    <n v="0"/>
    <x v="183"/>
    <x v="2"/>
    <x v="0"/>
    <x v="1"/>
    <x v="4"/>
    <n v="1449"/>
    <n v="0"/>
    <n v="1449"/>
  </r>
  <r>
    <n v="10045"/>
    <s v="Meena Verma"/>
    <s v="meena.verma@gamil.com"/>
    <n v="9515370656"/>
    <x v="3"/>
    <x v="0"/>
    <x v="10"/>
    <x v="4"/>
    <n v="3"/>
    <n v="1068"/>
    <n v="0"/>
    <x v="184"/>
    <x v="4"/>
    <x v="0"/>
    <x v="3"/>
    <x v="1"/>
    <n v="3204"/>
    <n v="0"/>
    <n v="3204"/>
  </r>
  <r>
    <n v="10247"/>
    <s v="Anita Nair"/>
    <s v="anita.nair@gamil.com"/>
    <n v="9856811521"/>
    <x v="11"/>
    <x v="0"/>
    <x v="5"/>
    <x v="3"/>
    <n v="5"/>
    <n v="61061"/>
    <n v="0"/>
    <x v="185"/>
    <x v="4"/>
    <x v="0"/>
    <x v="4"/>
    <x v="0"/>
    <n v="305305"/>
    <n v="0"/>
    <n v="305305"/>
  </r>
  <r>
    <n v="10377"/>
    <s v="Pooja Verma"/>
    <s v="pooja.verma@gamil.com"/>
    <n v="9841018185"/>
    <x v="4"/>
    <x v="3"/>
    <x v="8"/>
    <x v="3"/>
    <n v="1"/>
    <n v="15633"/>
    <n v="15"/>
    <x v="166"/>
    <x v="1"/>
    <x v="0"/>
    <x v="4"/>
    <x v="5"/>
    <n v="15633"/>
    <n v="2344.9499999999998"/>
    <n v="13288.05"/>
  </r>
  <r>
    <n v="10291"/>
    <s v="Vikram Sharma"/>
    <s v="vikram.sharma@gamil.com"/>
    <n v="9484205303"/>
    <x v="8"/>
    <x v="7"/>
    <x v="12"/>
    <x v="5"/>
    <n v="3"/>
    <n v="291"/>
    <n v="20"/>
    <x v="149"/>
    <x v="0"/>
    <x v="0"/>
    <x v="1"/>
    <x v="0"/>
    <n v="873"/>
    <n v="174.6"/>
    <n v="698.4"/>
  </r>
  <r>
    <n v="10124"/>
    <s v="Meena Malhotra"/>
    <s v="meena.malhotra@gamil.com"/>
    <n v="9942442669"/>
    <x v="5"/>
    <x v="4"/>
    <x v="3"/>
    <x v="2"/>
    <n v="2"/>
    <n v="411"/>
    <n v="0"/>
    <x v="127"/>
    <x v="3"/>
    <x v="0"/>
    <x v="4"/>
    <x v="3"/>
    <n v="822"/>
    <n v="0"/>
    <n v="822"/>
  </r>
  <r>
    <n v="10271"/>
    <s v="Kavita Patel"/>
    <s v="kavita.patel@gamil.com"/>
    <n v="9556457660"/>
    <x v="9"/>
    <x v="3"/>
    <x v="8"/>
    <x v="3"/>
    <n v="5"/>
    <n v="13304"/>
    <n v="15"/>
    <x v="36"/>
    <x v="4"/>
    <x v="0"/>
    <x v="4"/>
    <x v="0"/>
    <n v="66520"/>
    <n v="9978"/>
    <n v="56542"/>
  </r>
  <r>
    <n v="10409"/>
    <s v="Sanjay Reddy"/>
    <s v="sanjay.reddy@gamil.com"/>
    <n v="9634876828"/>
    <x v="10"/>
    <x v="8"/>
    <x v="9"/>
    <x v="5"/>
    <n v="3"/>
    <n v="497"/>
    <n v="20"/>
    <x v="186"/>
    <x v="1"/>
    <x v="2"/>
    <x v="3"/>
    <x v="0"/>
    <n v="1491"/>
    <n v="298.2"/>
    <n v="1192.8"/>
  </r>
  <r>
    <n v="10243"/>
    <s v="Amit Agarwal"/>
    <s v="N/A"/>
    <n v="9211197032"/>
    <x v="6"/>
    <x v="5"/>
    <x v="0"/>
    <x v="0"/>
    <n v="1"/>
    <n v="1205"/>
    <n v="15"/>
    <x v="180"/>
    <x v="4"/>
    <x v="0"/>
    <x v="4"/>
    <x v="5"/>
    <n v="1205"/>
    <n v="180.75"/>
    <n v="1024.25"/>
  </r>
  <r>
    <n v="10070"/>
    <s v="Divya Shah"/>
    <s v="divya.shah@gamil.com"/>
    <n v="9371653432"/>
    <x v="11"/>
    <x v="0"/>
    <x v="11"/>
    <x v="3"/>
    <n v="5"/>
    <n v="24487"/>
    <n v="15"/>
    <x v="187"/>
    <x v="1"/>
    <x v="0"/>
    <x v="4"/>
    <x v="5"/>
    <n v="122435"/>
    <n v="18365.25"/>
    <n v="104069.75"/>
  </r>
  <r>
    <n v="10426"/>
    <s v="Aarav Mehta"/>
    <s v="aarav.mehta@gamil.com"/>
    <n v="9558535797"/>
    <x v="2"/>
    <x v="2"/>
    <x v="4"/>
    <x v="1"/>
    <n v="4"/>
    <n v="295"/>
    <n v="15"/>
    <x v="31"/>
    <x v="1"/>
    <x v="0"/>
    <x v="3"/>
    <x v="3"/>
    <n v="1180"/>
    <n v="177"/>
    <n v="1003"/>
  </r>
  <r>
    <n v="10068"/>
    <s v="Aarav Malhotra"/>
    <s v="aarav.malhotra@gamil.com"/>
    <n v="9908750500"/>
    <x v="8"/>
    <x v="7"/>
    <x v="2"/>
    <x v="0"/>
    <n v="4"/>
    <n v="1207"/>
    <n v="0"/>
    <x v="110"/>
    <x v="0"/>
    <x v="1"/>
    <x v="3"/>
    <x v="5"/>
    <n v="4828"/>
    <n v="0"/>
    <n v="4828"/>
  </r>
  <r>
    <n v="10468"/>
    <s v="Aarav Joshi"/>
    <s v="aarav.joshi@gamil.com"/>
    <n v="9920543357"/>
    <x v="0"/>
    <x v="0"/>
    <x v="7"/>
    <x v="3"/>
    <n v="3"/>
    <n v="14897"/>
    <n v="15"/>
    <x v="29"/>
    <x v="2"/>
    <x v="0"/>
    <x v="4"/>
    <x v="3"/>
    <n v="44691"/>
    <n v="6703.65"/>
    <n v="37987.35"/>
  </r>
  <r>
    <n v="10087"/>
    <s v="Pooja Yadav"/>
    <s v="pooja.yadav@gamil.com"/>
    <s v="Invalid"/>
    <x v="11"/>
    <x v="0"/>
    <x v="12"/>
    <x v="5"/>
    <n v="1"/>
    <n v="266"/>
    <n v="5"/>
    <x v="188"/>
    <x v="1"/>
    <x v="0"/>
    <x v="1"/>
    <x v="3"/>
    <n v="266"/>
    <n v="13.3"/>
    <n v="252.7"/>
  </r>
  <r>
    <n v="10422"/>
    <s v="Divya Gupta"/>
    <s v="divya.gupta@gamil.com"/>
    <n v="9496533443"/>
    <x v="4"/>
    <x v="3"/>
    <x v="1"/>
    <x v="1"/>
    <n v="3"/>
    <n v="172"/>
    <n v="5"/>
    <x v="189"/>
    <x v="4"/>
    <x v="0"/>
    <x v="2"/>
    <x v="0"/>
    <n v="516"/>
    <n v="25.8"/>
    <n v="490.2"/>
  </r>
  <r>
    <n v="10229"/>
    <s v="Suresh Bhatt"/>
    <s v="suresh.bhatt@gmail.com"/>
    <n v="9343706034"/>
    <x v="2"/>
    <x v="2"/>
    <x v="2"/>
    <x v="0"/>
    <n v="4"/>
    <n v="636"/>
    <n v="5"/>
    <x v="22"/>
    <x v="4"/>
    <x v="1"/>
    <x v="5"/>
    <x v="3"/>
    <n v="2544"/>
    <n v="127.2"/>
    <n v="2416.8000000000002"/>
  </r>
  <r>
    <n v="10126"/>
    <s v="Meena Reddy"/>
    <s v="meena.reddy@gamil.com"/>
    <n v="9849587647"/>
    <x v="1"/>
    <x v="1"/>
    <x v="0"/>
    <x v="0"/>
    <n v="4"/>
    <n v="1111"/>
    <n v="0"/>
    <x v="61"/>
    <x v="3"/>
    <x v="0"/>
    <x v="0"/>
    <x v="3"/>
    <n v="4444"/>
    <n v="0"/>
    <n v="4444"/>
  </r>
  <r>
    <n v="10080"/>
    <s v="Sanjay Nair"/>
    <s v="sanjay.nair@gmail.com"/>
    <n v="9612910599"/>
    <x v="7"/>
    <x v="6"/>
    <x v="3"/>
    <x v="2"/>
    <n v="4"/>
    <n v="328"/>
    <n v="20"/>
    <x v="190"/>
    <x v="1"/>
    <x v="0"/>
    <x v="2"/>
    <x v="0"/>
    <n v="1312"/>
    <n v="262.39999999999998"/>
    <n v="1049.5999999999999"/>
  </r>
  <r>
    <n v="10393"/>
    <s v="Sanjay Nair"/>
    <s v="sanjay.nair@gamil.com"/>
    <n v="9898291422"/>
    <x v="9"/>
    <x v="3"/>
    <x v="12"/>
    <x v="5"/>
    <n v="5"/>
    <n v="155"/>
    <n v="20"/>
    <x v="5"/>
    <x v="3"/>
    <x v="0"/>
    <x v="3"/>
    <x v="5"/>
    <n v="775"/>
    <n v="155"/>
    <n v="620"/>
  </r>
  <r>
    <n v="10006"/>
    <s v="Sanjay Desai"/>
    <s v="sanjay.desai@gmail.com"/>
    <n v="9554586233"/>
    <x v="10"/>
    <x v="8"/>
    <x v="13"/>
    <x v="3"/>
    <n v="1"/>
    <n v="1552"/>
    <n v="10"/>
    <x v="137"/>
    <x v="0"/>
    <x v="0"/>
    <x v="3"/>
    <x v="5"/>
    <n v="1552"/>
    <n v="155.19999999999999"/>
    <n v="1396.8"/>
  </r>
  <r>
    <n v="10222"/>
    <s v="Swati Chopra"/>
    <s v="swati.chopra@gamil.com"/>
    <n v="9614743028"/>
    <x v="7"/>
    <x v="6"/>
    <x v="2"/>
    <x v="0"/>
    <n v="4"/>
    <n v="878"/>
    <n v="10"/>
    <x v="42"/>
    <x v="4"/>
    <x v="0"/>
    <x v="2"/>
    <x v="1"/>
    <n v="3512"/>
    <n v="351.2"/>
    <n v="3160.8"/>
  </r>
  <r>
    <n v="10304"/>
    <s v="Swati Yadav"/>
    <s v="swati.yadav@gamil.com"/>
    <n v="9101920794"/>
    <x v="11"/>
    <x v="0"/>
    <x v="12"/>
    <x v="5"/>
    <n v="5"/>
    <n v="382"/>
    <n v="20"/>
    <x v="104"/>
    <x v="0"/>
    <x v="0"/>
    <x v="3"/>
    <x v="5"/>
    <n v="1910"/>
    <n v="382"/>
    <n v="1528"/>
  </r>
  <r>
    <n v="10439"/>
    <s v="Swati Verma"/>
    <s v="swati.verma@gamil.com"/>
    <n v="9143112701"/>
    <x v="0"/>
    <x v="0"/>
    <x v="8"/>
    <x v="3"/>
    <n v="2"/>
    <n v="20023"/>
    <n v="0"/>
    <x v="191"/>
    <x v="1"/>
    <x v="0"/>
    <x v="4"/>
    <x v="1"/>
    <n v="40046"/>
    <n v="0"/>
    <n v="40046"/>
  </r>
  <r>
    <n v="10099"/>
    <s v="Meena Patel"/>
    <s v="meena.patel@gamil.com"/>
    <n v="9882828058"/>
    <x v="1"/>
    <x v="1"/>
    <x v="14"/>
    <x v="0"/>
    <n v="1"/>
    <n v="889"/>
    <n v="0"/>
    <x v="4"/>
    <x v="4"/>
    <x v="0"/>
    <x v="5"/>
    <x v="5"/>
    <n v="889"/>
    <n v="0"/>
    <n v="889"/>
  </r>
  <r>
    <n v="10448"/>
    <s v="Rohit Desai"/>
    <s v="rohit.desai@gamil.com"/>
    <n v="9582370515"/>
    <x v="1"/>
    <x v="1"/>
    <x v="14"/>
    <x v="0"/>
    <n v="4"/>
    <n v="2080"/>
    <n v="10"/>
    <x v="192"/>
    <x v="2"/>
    <x v="0"/>
    <x v="1"/>
    <x v="1"/>
    <n v="8320"/>
    <n v="832"/>
    <n v="7488"/>
  </r>
  <r>
    <n v="10455"/>
    <s v="Sneha Malhotra"/>
    <s v="sneha.malhotra@gamil.com"/>
    <n v="9268012518"/>
    <x v="4"/>
    <x v="3"/>
    <x v="1"/>
    <x v="1"/>
    <n v="1"/>
    <n v="186"/>
    <n v="10"/>
    <x v="193"/>
    <x v="2"/>
    <x v="0"/>
    <x v="4"/>
    <x v="3"/>
    <n v="186"/>
    <n v="18.600000000000001"/>
    <n v="167.4"/>
  </r>
  <r>
    <n v="10358"/>
    <s v="Amit Agarwal"/>
    <s v="amit.agarwal@gamil.com"/>
    <n v="9401258174"/>
    <x v="3"/>
    <x v="0"/>
    <x v="0"/>
    <x v="0"/>
    <n v="5"/>
    <n v="802"/>
    <n v="10"/>
    <x v="194"/>
    <x v="2"/>
    <x v="0"/>
    <x v="5"/>
    <x v="4"/>
    <n v="4010"/>
    <n v="401"/>
    <n v="3609"/>
  </r>
  <r>
    <n v="10348"/>
    <s v="Rahul Mehta"/>
    <s v="rahul.mehta@gamil.com"/>
    <n v="9771081482"/>
    <x v="3"/>
    <x v="0"/>
    <x v="9"/>
    <x v="5"/>
    <n v="1"/>
    <n v="863"/>
    <n v="0"/>
    <x v="195"/>
    <x v="4"/>
    <x v="0"/>
    <x v="2"/>
    <x v="5"/>
    <n v="863"/>
    <n v="0"/>
    <n v="863"/>
  </r>
  <r>
    <n v="10010"/>
    <s v="Amit Malhotra"/>
    <s v="amit.malhotra@gamil.com"/>
    <n v="9122059086"/>
    <x v="11"/>
    <x v="0"/>
    <x v="6"/>
    <x v="4"/>
    <n v="3"/>
    <n v="4715"/>
    <n v="20"/>
    <x v="196"/>
    <x v="3"/>
    <x v="0"/>
    <x v="5"/>
    <x v="5"/>
    <n v="14145"/>
    <n v="2829"/>
    <n v="11316"/>
  </r>
  <r>
    <n v="10404"/>
    <s v="Arjun Iyer"/>
    <s v="arjun.iyer@gamil.com"/>
    <n v="9381651945"/>
    <x v="6"/>
    <x v="5"/>
    <x v="8"/>
    <x v="3"/>
    <n v="3"/>
    <n v="16964"/>
    <n v="5"/>
    <x v="148"/>
    <x v="4"/>
    <x v="0"/>
    <x v="2"/>
    <x v="4"/>
    <n v="50892"/>
    <n v="2544.6"/>
    <n v="48347.4"/>
  </r>
  <r>
    <n v="10421"/>
    <s v="Rahul Reddy"/>
    <s v="rahul.reddy@gamil.com"/>
    <s v="Invalid"/>
    <x v="10"/>
    <x v="8"/>
    <x v="11"/>
    <x v="3"/>
    <n v="3"/>
    <n v="16154"/>
    <n v="20"/>
    <x v="111"/>
    <x v="2"/>
    <x v="0"/>
    <x v="0"/>
    <x v="0"/>
    <n v="48462"/>
    <n v="9692.4"/>
    <n v="38769.599999999999"/>
  </r>
  <r>
    <n v="10255"/>
    <s v="Sanjay Nair"/>
    <s v="sanjay.nair@gmail.com"/>
    <n v="9401608690"/>
    <x v="0"/>
    <x v="0"/>
    <x v="3"/>
    <x v="2"/>
    <n v="4"/>
    <n v="315"/>
    <n v="10"/>
    <x v="146"/>
    <x v="4"/>
    <x v="1"/>
    <x v="4"/>
    <x v="1"/>
    <n v="1260"/>
    <n v="126"/>
    <n v="1134"/>
  </r>
  <r>
    <n v="10032"/>
    <s v="Sanjay Reddy"/>
    <s v="sanjay.reddy@gamil.com"/>
    <n v="9476505955"/>
    <x v="3"/>
    <x v="0"/>
    <x v="5"/>
    <x v="3"/>
    <n v="5"/>
    <n v="46871"/>
    <n v="0"/>
    <x v="165"/>
    <x v="2"/>
    <x v="1"/>
    <x v="3"/>
    <x v="1"/>
    <n v="234355"/>
    <n v="0"/>
    <n v="234355"/>
  </r>
  <r>
    <n v="10307"/>
    <s v="Arjun Sharma"/>
    <s v="arjun.sharma@gamil.com"/>
    <n v="9507378677"/>
    <x v="0"/>
    <x v="0"/>
    <x v="8"/>
    <x v="3"/>
    <n v="1"/>
    <n v="23156"/>
    <n v="20"/>
    <x v="197"/>
    <x v="4"/>
    <x v="0"/>
    <x v="3"/>
    <x v="1"/>
    <n v="23156"/>
    <n v="4631.2"/>
    <n v="18524.8"/>
  </r>
  <r>
    <n v="10235"/>
    <s v="Neha Malhotra"/>
    <s v="neha.malhotra@gamil.com"/>
    <s v="Invalid"/>
    <x v="6"/>
    <x v="5"/>
    <x v="8"/>
    <x v="3"/>
    <n v="2"/>
    <n v="24058"/>
    <n v="20"/>
    <x v="30"/>
    <x v="1"/>
    <x v="0"/>
    <x v="2"/>
    <x v="0"/>
    <n v="48116"/>
    <n v="9623.2000000000007"/>
    <n v="38492.800000000003"/>
  </r>
  <r>
    <n v="10153"/>
    <s v="Rahul Singh"/>
    <s v="rahul.singh@gamil.com"/>
    <n v="9314618246"/>
    <x v="10"/>
    <x v="8"/>
    <x v="6"/>
    <x v="4"/>
    <n v="3"/>
    <n v="2221"/>
    <n v="5"/>
    <x v="198"/>
    <x v="4"/>
    <x v="0"/>
    <x v="4"/>
    <x v="1"/>
    <n v="6663"/>
    <n v="333.15"/>
    <n v="6329.85"/>
  </r>
  <r>
    <n v="10095"/>
    <s v="Arjun Nair"/>
    <s v="arjun.nair@gamil.com"/>
    <n v="9496350754"/>
    <x v="6"/>
    <x v="5"/>
    <x v="12"/>
    <x v="5"/>
    <n v="3"/>
    <n v="398"/>
    <n v="0"/>
    <x v="199"/>
    <x v="3"/>
    <x v="2"/>
    <x v="3"/>
    <x v="0"/>
    <n v="1194"/>
    <n v="0"/>
    <n v="1194"/>
  </r>
  <r>
    <n v="10359"/>
    <s v="Suresh Patel"/>
    <s v="suresh.patel@gmail.com"/>
    <n v="9400174494"/>
    <x v="2"/>
    <x v="2"/>
    <x v="8"/>
    <x v="3"/>
    <n v="5"/>
    <n v="19420"/>
    <n v="0"/>
    <x v="97"/>
    <x v="2"/>
    <x v="0"/>
    <x v="1"/>
    <x v="4"/>
    <n v="97100"/>
    <n v="0"/>
    <n v="97100"/>
  </r>
  <r>
    <n v="10104"/>
    <s v="Rahul Patel"/>
    <s v="rahul.patel@gamil.com"/>
    <s v="Invalid"/>
    <x v="7"/>
    <x v="6"/>
    <x v="8"/>
    <x v="3"/>
    <n v="2"/>
    <n v="25809"/>
    <n v="10"/>
    <x v="200"/>
    <x v="3"/>
    <x v="0"/>
    <x v="3"/>
    <x v="5"/>
    <n v="51618"/>
    <n v="5161.8"/>
    <n v="46456.2"/>
  </r>
  <r>
    <n v="10251"/>
    <s v="Deepak Shah"/>
    <s v="deepak.shah@gmail.com"/>
    <n v="9514453341"/>
    <x v="4"/>
    <x v="3"/>
    <x v="12"/>
    <x v="5"/>
    <n v="1"/>
    <n v="572"/>
    <n v="10"/>
    <x v="147"/>
    <x v="4"/>
    <x v="0"/>
    <x v="4"/>
    <x v="3"/>
    <n v="572"/>
    <n v="57.2"/>
    <n v="514.79999999999995"/>
  </r>
  <r>
    <n v="10041"/>
    <s v="Ajay Shah"/>
    <s v="ajay.shah@gamil.com"/>
    <n v="9946179261"/>
    <x v="6"/>
    <x v="5"/>
    <x v="11"/>
    <x v="3"/>
    <n v="5"/>
    <n v="21850"/>
    <n v="10"/>
    <x v="201"/>
    <x v="2"/>
    <x v="0"/>
    <x v="0"/>
    <x v="1"/>
    <n v="109250"/>
    <n v="10925"/>
    <n v="98325"/>
  </r>
  <r>
    <n v="10108"/>
    <s v="Priya Mehta"/>
    <s v="priya.mehta@gamil.com"/>
    <n v="9520096331"/>
    <x v="8"/>
    <x v="7"/>
    <x v="11"/>
    <x v="3"/>
    <n v="2"/>
    <n v="22482"/>
    <n v="20"/>
    <x v="202"/>
    <x v="0"/>
    <x v="0"/>
    <x v="4"/>
    <x v="1"/>
    <n v="44964"/>
    <n v="8992.7999999999993"/>
    <n v="35971.199999999997"/>
  </r>
  <r>
    <n v="10427"/>
    <s v="Vikram Agarwal"/>
    <s v="vikram.agarwal@gmail.com"/>
    <n v="9786594727"/>
    <x v="0"/>
    <x v="0"/>
    <x v="7"/>
    <x v="3"/>
    <n v="2"/>
    <n v="6595"/>
    <n v="5"/>
    <x v="203"/>
    <x v="2"/>
    <x v="2"/>
    <x v="2"/>
    <x v="1"/>
    <n v="13190"/>
    <n v="659.5"/>
    <n v="12530.5"/>
  </r>
  <r>
    <n v="10200"/>
    <s v="Suresh Chopra"/>
    <s v="suresh.chopra@gmail.com"/>
    <n v="9830708276"/>
    <x v="7"/>
    <x v="6"/>
    <x v="2"/>
    <x v="0"/>
    <n v="3"/>
    <n v="1100"/>
    <n v="15"/>
    <x v="204"/>
    <x v="2"/>
    <x v="0"/>
    <x v="3"/>
    <x v="3"/>
    <n v="3300"/>
    <n v="495"/>
    <n v="2805"/>
  </r>
  <r>
    <n v="10240"/>
    <s v="Rohit Shah"/>
    <s v="rohit.shah@gamil.com"/>
    <s v="Invalid"/>
    <x v="9"/>
    <x v="3"/>
    <x v="4"/>
    <x v="1"/>
    <n v="1"/>
    <n v="311"/>
    <n v="5"/>
    <x v="205"/>
    <x v="4"/>
    <x v="0"/>
    <x v="0"/>
    <x v="1"/>
    <n v="311"/>
    <n v="15.55"/>
    <n v="295.45"/>
  </r>
  <r>
    <n v="10163"/>
    <s v="Neha Shah"/>
    <s v="neha.shah@gamil.com"/>
    <n v="9123642970"/>
    <x v="6"/>
    <x v="5"/>
    <x v="11"/>
    <x v="3"/>
    <n v="5"/>
    <n v="22138"/>
    <n v="10"/>
    <x v="193"/>
    <x v="3"/>
    <x v="0"/>
    <x v="5"/>
    <x v="4"/>
    <n v="110690"/>
    <n v="11069"/>
    <n v="99621"/>
  </r>
  <r>
    <n v="10049"/>
    <s v="Kavita Reddy"/>
    <s v="kavita.reddy@gamil.com"/>
    <s v="Invalid"/>
    <x v="4"/>
    <x v="3"/>
    <x v="13"/>
    <x v="3"/>
    <n v="4"/>
    <n v="3579"/>
    <n v="15"/>
    <x v="46"/>
    <x v="1"/>
    <x v="0"/>
    <x v="2"/>
    <x v="5"/>
    <n v="14316"/>
    <n v="2147.4"/>
    <n v="12168.6"/>
  </r>
  <r>
    <n v="10063"/>
    <s v="Sanjay Nair"/>
    <s v="sanjay.nair@gamil.com"/>
    <n v="9655865423"/>
    <x v="8"/>
    <x v="7"/>
    <x v="14"/>
    <x v="0"/>
    <n v="5"/>
    <n v="1961"/>
    <n v="5"/>
    <x v="82"/>
    <x v="4"/>
    <x v="0"/>
    <x v="5"/>
    <x v="0"/>
    <n v="9805"/>
    <n v="490.25"/>
    <n v="9314.75"/>
  </r>
  <r>
    <n v="10342"/>
    <s v="Aarav Kapoor"/>
    <s v="aarav.kapoor@gmail.com"/>
    <n v="9200056545"/>
    <x v="5"/>
    <x v="4"/>
    <x v="11"/>
    <x v="3"/>
    <n v="3"/>
    <n v="25650"/>
    <n v="0"/>
    <x v="129"/>
    <x v="0"/>
    <x v="0"/>
    <x v="3"/>
    <x v="2"/>
    <n v="76950"/>
    <n v="0"/>
    <n v="76950"/>
  </r>
  <r>
    <n v="10492"/>
    <s v="Vikram Singh"/>
    <s v="vikram.singh@gamil.com"/>
    <n v="9967572793"/>
    <x v="9"/>
    <x v="3"/>
    <x v="4"/>
    <x v="1"/>
    <n v="3"/>
    <n v="163"/>
    <n v="15"/>
    <x v="166"/>
    <x v="3"/>
    <x v="0"/>
    <x v="1"/>
    <x v="0"/>
    <n v="489"/>
    <n v="73.349999999999994"/>
    <n v="415.65"/>
  </r>
  <r>
    <n v="10485"/>
    <s v="Sneha Yadav"/>
    <s v="sneha.yadav@gamil.com"/>
    <n v="9507356527"/>
    <x v="10"/>
    <x v="8"/>
    <x v="1"/>
    <x v="1"/>
    <n v="5"/>
    <n v="199"/>
    <n v="0"/>
    <x v="206"/>
    <x v="4"/>
    <x v="0"/>
    <x v="2"/>
    <x v="4"/>
    <n v="995"/>
    <n v="0"/>
    <n v="995"/>
  </r>
  <r>
    <n v="10311"/>
    <s v="Pooja Singh"/>
    <s v="pooja.singh@gmail.com"/>
    <s v="Invalid"/>
    <x v="3"/>
    <x v="0"/>
    <x v="7"/>
    <x v="3"/>
    <n v="3"/>
    <n v="6383"/>
    <n v="20"/>
    <x v="207"/>
    <x v="2"/>
    <x v="0"/>
    <x v="5"/>
    <x v="4"/>
    <n v="19149"/>
    <n v="3829.8"/>
    <n v="15319.2"/>
  </r>
  <r>
    <n v="10372"/>
    <s v="Ritu Kumar"/>
    <s v="ritu.kumar@gamil.com"/>
    <s v="Invalid"/>
    <x v="8"/>
    <x v="7"/>
    <x v="7"/>
    <x v="3"/>
    <n v="5"/>
    <n v="12200"/>
    <n v="5"/>
    <x v="36"/>
    <x v="1"/>
    <x v="2"/>
    <x v="3"/>
    <x v="3"/>
    <n v="61000"/>
    <n v="3050"/>
    <n v="57950"/>
  </r>
  <r>
    <n v="10314"/>
    <s v="Arjun Iyer"/>
    <s v="arjun.iyer@gmail.com"/>
    <n v="9800508475"/>
    <x v="1"/>
    <x v="1"/>
    <x v="3"/>
    <x v="2"/>
    <n v="2"/>
    <n v="707"/>
    <n v="5"/>
    <x v="101"/>
    <x v="1"/>
    <x v="0"/>
    <x v="3"/>
    <x v="5"/>
    <n v="1414"/>
    <n v="70.7"/>
    <n v="1343.3"/>
  </r>
  <r>
    <n v="10042"/>
    <s v="Sneha Chopra"/>
    <s v="sneha.chopra@gamil.com"/>
    <n v="9231464070"/>
    <x v="4"/>
    <x v="3"/>
    <x v="5"/>
    <x v="3"/>
    <n v="5"/>
    <n v="64886"/>
    <n v="0"/>
    <x v="208"/>
    <x v="1"/>
    <x v="0"/>
    <x v="4"/>
    <x v="4"/>
    <n v="324430"/>
    <n v="0"/>
    <n v="324430"/>
  </r>
  <r>
    <n v="10098"/>
    <s v="Arjun Agarwal"/>
    <s v="arjun.agarwal@gamil.com"/>
    <n v="9916913519"/>
    <x v="4"/>
    <x v="3"/>
    <x v="7"/>
    <x v="3"/>
    <n v="1"/>
    <n v="13645"/>
    <n v="5"/>
    <x v="209"/>
    <x v="4"/>
    <x v="0"/>
    <x v="5"/>
    <x v="5"/>
    <n v="13645"/>
    <n v="682.25"/>
    <n v="12962.75"/>
  </r>
  <r>
    <n v="10443"/>
    <s v="Sanjay Chopra"/>
    <s v="sanjay.chopra@gamil.com"/>
    <n v="9724198479"/>
    <x v="8"/>
    <x v="7"/>
    <x v="10"/>
    <x v="4"/>
    <n v="4"/>
    <n v="895"/>
    <n v="20"/>
    <x v="68"/>
    <x v="0"/>
    <x v="1"/>
    <x v="4"/>
    <x v="5"/>
    <n v="3580"/>
    <n v="716"/>
    <n v="2864"/>
  </r>
  <r>
    <n v="10265"/>
    <s v="Neha Nair"/>
    <s v="neha.nair@gamil.com"/>
    <n v="9136802314"/>
    <x v="2"/>
    <x v="2"/>
    <x v="3"/>
    <x v="2"/>
    <n v="1"/>
    <n v="732"/>
    <n v="20"/>
    <x v="210"/>
    <x v="4"/>
    <x v="0"/>
    <x v="3"/>
    <x v="4"/>
    <n v="732"/>
    <n v="146.4"/>
    <n v="585.6"/>
  </r>
  <r>
    <n v="10276"/>
    <s v="Neha Mehta"/>
    <s v="neha.mehta@gamil.com"/>
    <n v="9594012361"/>
    <x v="3"/>
    <x v="0"/>
    <x v="9"/>
    <x v="5"/>
    <n v="3"/>
    <n v="625"/>
    <n v="15"/>
    <x v="96"/>
    <x v="2"/>
    <x v="0"/>
    <x v="4"/>
    <x v="3"/>
    <n v="1875"/>
    <n v="281.25"/>
    <n v="1593.75"/>
  </r>
  <r>
    <n v="10350"/>
    <s v="Aarav Kapoor"/>
    <s v="aarav.kapoor@gamil.com"/>
    <n v="9866161868"/>
    <x v="11"/>
    <x v="0"/>
    <x v="10"/>
    <x v="4"/>
    <n v="3"/>
    <n v="803"/>
    <n v="10"/>
    <x v="76"/>
    <x v="3"/>
    <x v="1"/>
    <x v="3"/>
    <x v="4"/>
    <n v="2409"/>
    <n v="240.9"/>
    <n v="2168.1"/>
  </r>
  <r>
    <n v="10084"/>
    <s v="Rahul Mehta"/>
    <s v="rahul.mehta@gamil.com"/>
    <s v="Invalid"/>
    <x v="8"/>
    <x v="7"/>
    <x v="7"/>
    <x v="3"/>
    <n v="4"/>
    <n v="6749"/>
    <n v="10"/>
    <x v="17"/>
    <x v="0"/>
    <x v="0"/>
    <x v="1"/>
    <x v="1"/>
    <n v="26996"/>
    <n v="2699.6"/>
    <n v="24296.400000000001"/>
  </r>
  <r>
    <n v="10354"/>
    <s v="Deepak Sharma"/>
    <s v="deepak.sharma@gamil.com"/>
    <n v="9268928043"/>
    <x v="0"/>
    <x v="0"/>
    <x v="11"/>
    <x v="3"/>
    <n v="2"/>
    <n v="29618"/>
    <n v="15"/>
    <x v="123"/>
    <x v="4"/>
    <x v="0"/>
    <x v="2"/>
    <x v="5"/>
    <n v="59236"/>
    <n v="8885.4"/>
    <n v="50350.6"/>
  </r>
  <r>
    <n v="10089"/>
    <s v="Sneha Malhotra"/>
    <s v="sneha.malhotra@gamil.com"/>
    <n v="9924715291"/>
    <x v="1"/>
    <x v="1"/>
    <x v="12"/>
    <x v="5"/>
    <n v="2"/>
    <n v="418"/>
    <n v="20"/>
    <x v="211"/>
    <x v="1"/>
    <x v="0"/>
    <x v="1"/>
    <x v="2"/>
    <n v="836"/>
    <n v="167.2"/>
    <n v="668.8"/>
  </r>
  <r>
    <n v="10469"/>
    <s v="Sneha Reddy"/>
    <s v="sneha.reddy@gamil.com"/>
    <n v="9580326330"/>
    <x v="11"/>
    <x v="0"/>
    <x v="10"/>
    <x v="4"/>
    <n v="2"/>
    <n v="849"/>
    <n v="10"/>
    <x v="212"/>
    <x v="4"/>
    <x v="0"/>
    <x v="3"/>
    <x v="5"/>
    <n v="1698"/>
    <n v="169.8"/>
    <n v="1528.2"/>
  </r>
  <r>
    <n v="10465"/>
    <s v="Arjun Sharma"/>
    <s v="arjun.sharma@gamil.com"/>
    <n v="9713231127"/>
    <x v="0"/>
    <x v="0"/>
    <x v="13"/>
    <x v="3"/>
    <n v="4"/>
    <n v="4169"/>
    <n v="0"/>
    <x v="213"/>
    <x v="0"/>
    <x v="0"/>
    <x v="2"/>
    <x v="5"/>
    <n v="16676"/>
    <n v="0"/>
    <n v="16676"/>
  </r>
  <r>
    <n v="10172"/>
    <s v="Ritu Yadav"/>
    <s v="ritu.yadav@gamil.com"/>
    <n v="9332553595"/>
    <x v="11"/>
    <x v="0"/>
    <x v="2"/>
    <x v="0"/>
    <n v="4"/>
    <n v="1795"/>
    <n v="10"/>
    <x v="22"/>
    <x v="2"/>
    <x v="0"/>
    <x v="1"/>
    <x v="0"/>
    <n v="7180"/>
    <n v="718"/>
    <n v="6462"/>
  </r>
  <r>
    <n v="10118"/>
    <s v="Divya Yadav"/>
    <s v="divya.yadav@gamil.com"/>
    <n v="9627077209"/>
    <x v="0"/>
    <x v="0"/>
    <x v="4"/>
    <x v="1"/>
    <n v="3"/>
    <n v="215"/>
    <n v="0"/>
    <x v="38"/>
    <x v="3"/>
    <x v="1"/>
    <x v="2"/>
    <x v="0"/>
    <n v="645"/>
    <n v="0"/>
    <n v="645"/>
  </r>
  <r>
    <n v="10203"/>
    <s v="Meena Patel"/>
    <s v="meena.patel@gamil.com"/>
    <n v="9223241459"/>
    <x v="11"/>
    <x v="0"/>
    <x v="12"/>
    <x v="5"/>
    <n v="4"/>
    <n v="255"/>
    <n v="5"/>
    <x v="214"/>
    <x v="2"/>
    <x v="0"/>
    <x v="0"/>
    <x v="2"/>
    <n v="1020"/>
    <n v="51"/>
    <n v="969"/>
  </r>
  <r>
    <n v="10149"/>
    <s v="Suresh Bhatt"/>
    <s v="suresh.bhatt@gmail.com"/>
    <n v="9261387238"/>
    <x v="3"/>
    <x v="0"/>
    <x v="0"/>
    <x v="0"/>
    <n v="2"/>
    <n v="1199"/>
    <n v="15"/>
    <x v="215"/>
    <x v="3"/>
    <x v="1"/>
    <x v="1"/>
    <x v="1"/>
    <n v="2398"/>
    <n v="359.7"/>
    <n v="2038.3"/>
  </r>
  <r>
    <n v="10131"/>
    <s v="Deepak Yadav"/>
    <s v="deepak.yadav@gamil.com"/>
    <n v="9195433541"/>
    <x v="11"/>
    <x v="0"/>
    <x v="13"/>
    <x v="3"/>
    <n v="5"/>
    <n v="1969"/>
    <n v="0"/>
    <x v="44"/>
    <x v="1"/>
    <x v="2"/>
    <x v="5"/>
    <x v="0"/>
    <n v="9845"/>
    <n v="0"/>
    <n v="9845"/>
  </r>
  <r>
    <n v="10161"/>
    <s v="Rahul Mehta"/>
    <s v="rahul.mehta@gamil.com"/>
    <n v="9116077649"/>
    <x v="4"/>
    <x v="3"/>
    <x v="2"/>
    <x v="0"/>
    <n v="4"/>
    <n v="641"/>
    <n v="10"/>
    <x v="216"/>
    <x v="0"/>
    <x v="0"/>
    <x v="0"/>
    <x v="5"/>
    <n v="2564"/>
    <n v="256.39999999999998"/>
    <n v="2307.6"/>
  </r>
  <r>
    <n v="10344"/>
    <s v="Pooja Nair"/>
    <s v="pooja.nair@gmail.com"/>
    <n v="9793496200"/>
    <x v="10"/>
    <x v="8"/>
    <x v="5"/>
    <x v="3"/>
    <n v="2"/>
    <n v="48961"/>
    <n v="15"/>
    <x v="213"/>
    <x v="4"/>
    <x v="0"/>
    <x v="2"/>
    <x v="3"/>
    <n v="97922"/>
    <n v="14688.3"/>
    <n v="83233.7"/>
  </r>
  <r>
    <n v="10023"/>
    <s v="Ritu Kumar"/>
    <s v="ritu.kumar@gamil.com"/>
    <n v="9166996629"/>
    <x v="7"/>
    <x v="6"/>
    <x v="6"/>
    <x v="4"/>
    <n v="2"/>
    <n v="2596"/>
    <n v="10"/>
    <x v="85"/>
    <x v="0"/>
    <x v="0"/>
    <x v="5"/>
    <x v="2"/>
    <n v="5192"/>
    <n v="519.20000000000005"/>
    <n v="4672.8"/>
  </r>
  <r>
    <n v="10132"/>
    <s v="Arjun Malhotra"/>
    <s v="arjun.malhotra@gmail.com"/>
    <n v="9194488051"/>
    <x v="6"/>
    <x v="5"/>
    <x v="6"/>
    <x v="4"/>
    <n v="3"/>
    <n v="2151"/>
    <n v="0"/>
    <x v="160"/>
    <x v="0"/>
    <x v="0"/>
    <x v="1"/>
    <x v="4"/>
    <n v="6453"/>
    <n v="0"/>
    <n v="6453"/>
  </r>
  <r>
    <n v="10270"/>
    <s v="Anita Nair"/>
    <s v="anita.nair@gamil.com"/>
    <s v="Invalid"/>
    <x v="3"/>
    <x v="0"/>
    <x v="9"/>
    <x v="5"/>
    <n v="4"/>
    <n v="324"/>
    <n v="10"/>
    <x v="217"/>
    <x v="3"/>
    <x v="0"/>
    <x v="3"/>
    <x v="1"/>
    <n v="1296"/>
    <n v="129.6"/>
    <n v="1166.4000000000001"/>
  </r>
  <r>
    <n v="10096"/>
    <s v="Vikram Bhatt"/>
    <s v="vikram.bhatt@gamil.com"/>
    <s v="Invalid"/>
    <x v="7"/>
    <x v="6"/>
    <x v="0"/>
    <x v="0"/>
    <n v="5"/>
    <n v="681"/>
    <n v="10"/>
    <x v="218"/>
    <x v="2"/>
    <x v="0"/>
    <x v="0"/>
    <x v="5"/>
    <n v="3405"/>
    <n v="340.5"/>
    <n v="3064.5"/>
  </r>
  <r>
    <n v="10473"/>
    <s v="Priya Patel"/>
    <s v="priya.patel@gamil.com"/>
    <n v="9845156469"/>
    <x v="4"/>
    <x v="3"/>
    <x v="6"/>
    <x v="4"/>
    <n v="2"/>
    <n v="3865"/>
    <n v="20"/>
    <x v="219"/>
    <x v="2"/>
    <x v="0"/>
    <x v="4"/>
    <x v="2"/>
    <n v="7730"/>
    <n v="1546"/>
    <n v="6184"/>
  </r>
  <r>
    <n v="10403"/>
    <s v="Anita Kapoor"/>
    <s v="anita.kapoor@gamil.com"/>
    <n v="9113806403"/>
    <x v="2"/>
    <x v="2"/>
    <x v="2"/>
    <x v="0"/>
    <n v="3"/>
    <n v="1320"/>
    <n v="0"/>
    <x v="220"/>
    <x v="4"/>
    <x v="1"/>
    <x v="4"/>
    <x v="2"/>
    <n v="3960"/>
    <n v="0"/>
    <n v="3960"/>
  </r>
  <r>
    <n v="10401"/>
    <s v="Divya Shah"/>
    <s v="divya.shah@gamil.com"/>
    <n v="9233692420"/>
    <x v="10"/>
    <x v="8"/>
    <x v="3"/>
    <x v="2"/>
    <n v="1"/>
    <n v="434"/>
    <n v="0"/>
    <x v="43"/>
    <x v="0"/>
    <x v="0"/>
    <x v="4"/>
    <x v="3"/>
    <n v="434"/>
    <n v="0"/>
    <n v="434"/>
  </r>
  <r>
    <n v="10193"/>
    <s v="Amit Malhotra"/>
    <s v="amit.malhotra@gamil.com"/>
    <n v="9357068174"/>
    <x v="9"/>
    <x v="3"/>
    <x v="8"/>
    <x v="3"/>
    <n v="5"/>
    <n v="29648"/>
    <n v="5"/>
    <x v="200"/>
    <x v="3"/>
    <x v="0"/>
    <x v="4"/>
    <x v="0"/>
    <n v="148240"/>
    <n v="7412"/>
    <n v="140828"/>
  </r>
  <r>
    <n v="10475"/>
    <s v="Swati Verma"/>
    <s v="swati.verma@gamil.com"/>
    <n v="9119825612"/>
    <x v="9"/>
    <x v="3"/>
    <x v="3"/>
    <x v="2"/>
    <n v="2"/>
    <n v="622"/>
    <n v="10"/>
    <x v="124"/>
    <x v="4"/>
    <x v="0"/>
    <x v="3"/>
    <x v="0"/>
    <n v="1244"/>
    <n v="124.4"/>
    <n v="1119.5999999999999"/>
  </r>
  <r>
    <n v="10274"/>
    <s v="Rahul Patel"/>
    <s v="rahul.patel@gmail.com"/>
    <n v="9454198604"/>
    <x v="4"/>
    <x v="3"/>
    <x v="4"/>
    <x v="1"/>
    <n v="5"/>
    <n v="352"/>
    <n v="0"/>
    <x v="221"/>
    <x v="4"/>
    <x v="1"/>
    <x v="5"/>
    <x v="0"/>
    <n v="1760"/>
    <n v="0"/>
    <n v="1760"/>
  </r>
  <r>
    <n v="10261"/>
    <s v="Ritu Desai"/>
    <s v="ritu.desai@gamil.com"/>
    <n v="9357774759"/>
    <x v="5"/>
    <x v="4"/>
    <x v="6"/>
    <x v="4"/>
    <n v="1"/>
    <n v="1666"/>
    <n v="5"/>
    <x v="222"/>
    <x v="0"/>
    <x v="0"/>
    <x v="2"/>
    <x v="0"/>
    <n v="1666"/>
    <n v="83.3"/>
    <n v="1582.7"/>
  </r>
  <r>
    <n v="10286"/>
    <s v="Rohit Shah"/>
    <s v="rohit.shah@gamil.com"/>
    <n v="9278473577"/>
    <x v="2"/>
    <x v="2"/>
    <x v="4"/>
    <x v="1"/>
    <n v="2"/>
    <n v="123"/>
    <n v="15"/>
    <x v="135"/>
    <x v="2"/>
    <x v="0"/>
    <x v="2"/>
    <x v="4"/>
    <n v="246"/>
    <n v="36.9"/>
    <n v="209.1"/>
  </r>
  <r>
    <n v="10368"/>
    <s v="Aarav Yadav"/>
    <s v="aarav.yadav@gamil.com"/>
    <n v="9194161968"/>
    <x v="2"/>
    <x v="2"/>
    <x v="5"/>
    <x v="3"/>
    <n v="1"/>
    <n v="64084"/>
    <n v="15"/>
    <x v="56"/>
    <x v="3"/>
    <x v="0"/>
    <x v="1"/>
    <x v="3"/>
    <n v="64084"/>
    <n v="9612.6"/>
    <n v="54471.4"/>
  </r>
  <r>
    <n v="10075"/>
    <s v="Swati Verma"/>
    <s v="swati.verma@gamil.com"/>
    <n v="9822628547"/>
    <x v="5"/>
    <x v="4"/>
    <x v="6"/>
    <x v="4"/>
    <n v="3"/>
    <n v="2459"/>
    <n v="0"/>
    <x v="223"/>
    <x v="2"/>
    <x v="0"/>
    <x v="1"/>
    <x v="5"/>
    <n v="7377"/>
    <n v="0"/>
    <n v="7377"/>
  </r>
  <r>
    <n v="10003"/>
    <s v="Pooja Gupta"/>
    <s v="pooja.gupta@gamil.com"/>
    <s v="Invalid"/>
    <x v="4"/>
    <x v="3"/>
    <x v="5"/>
    <x v="3"/>
    <n v="1"/>
    <n v="57438"/>
    <n v="0"/>
    <x v="121"/>
    <x v="3"/>
    <x v="1"/>
    <x v="1"/>
    <x v="5"/>
    <n v="57438"/>
    <n v="0"/>
    <n v="57438"/>
  </r>
  <r>
    <n v="10183"/>
    <s v="Sanjay Patel"/>
    <s v="sanjay.patel@gamil.com"/>
    <n v="9741304433"/>
    <x v="5"/>
    <x v="4"/>
    <x v="10"/>
    <x v="4"/>
    <n v="2"/>
    <n v="1391"/>
    <n v="10"/>
    <x v="224"/>
    <x v="2"/>
    <x v="0"/>
    <x v="3"/>
    <x v="0"/>
    <n v="2782"/>
    <n v="278.2"/>
    <n v="2503.8000000000002"/>
  </r>
  <r>
    <n v="10066"/>
    <s v="Amit Iyer"/>
    <s v="amit.iyer@gamil.com"/>
    <n v="9586047470"/>
    <x v="7"/>
    <x v="6"/>
    <x v="8"/>
    <x v="3"/>
    <n v="5"/>
    <n v="29687"/>
    <n v="15"/>
    <x v="214"/>
    <x v="3"/>
    <x v="0"/>
    <x v="2"/>
    <x v="1"/>
    <n v="148435"/>
    <n v="22265.25"/>
    <n v="126169.75"/>
  </r>
  <r>
    <n v="10405"/>
    <s v="Anita Rao"/>
    <s v="anita.rao@gamil.com"/>
    <s v="Invalid"/>
    <x v="10"/>
    <x v="8"/>
    <x v="13"/>
    <x v="3"/>
    <n v="3"/>
    <n v="2792"/>
    <n v="0"/>
    <x v="162"/>
    <x v="3"/>
    <x v="0"/>
    <x v="5"/>
    <x v="4"/>
    <n v="8376"/>
    <n v="0"/>
    <n v="8376"/>
  </r>
  <r>
    <n v="10328"/>
    <s v="Neha Chopra"/>
    <s v="neha.chopra@gamil.com"/>
    <n v="9551006373"/>
    <x v="5"/>
    <x v="4"/>
    <x v="12"/>
    <x v="5"/>
    <n v="5"/>
    <n v="432"/>
    <n v="0"/>
    <x v="225"/>
    <x v="1"/>
    <x v="0"/>
    <x v="3"/>
    <x v="5"/>
    <n v="2160"/>
    <n v="0"/>
    <n v="2160"/>
  </r>
  <r>
    <n v="10236"/>
    <s v="Meena Verma"/>
    <s v="meena.verma@gamil.com"/>
    <s v="Invalid"/>
    <x v="11"/>
    <x v="0"/>
    <x v="12"/>
    <x v="5"/>
    <n v="2"/>
    <n v="179"/>
    <n v="10"/>
    <x v="226"/>
    <x v="3"/>
    <x v="2"/>
    <x v="0"/>
    <x v="3"/>
    <n v="358"/>
    <n v="35.799999999999997"/>
    <n v="322.2"/>
  </r>
  <r>
    <n v="10178"/>
    <s v="Neha Singh"/>
    <s v="neha.singh@gamil.com"/>
    <n v="9111067913"/>
    <x v="8"/>
    <x v="7"/>
    <x v="7"/>
    <x v="3"/>
    <n v="1"/>
    <n v="10612"/>
    <n v="20"/>
    <x v="113"/>
    <x v="3"/>
    <x v="0"/>
    <x v="5"/>
    <x v="0"/>
    <n v="10612"/>
    <n v="2122.4"/>
    <n v="8489.6"/>
  </r>
  <r>
    <n v="10130"/>
    <s v="Vikram Bhatt"/>
    <s v="vikram.bhatt@gamil.com"/>
    <n v="9464039879"/>
    <x v="9"/>
    <x v="3"/>
    <x v="5"/>
    <x v="3"/>
    <n v="5"/>
    <n v="62356"/>
    <n v="0"/>
    <x v="227"/>
    <x v="2"/>
    <x v="0"/>
    <x v="1"/>
    <x v="3"/>
    <n v="311780"/>
    <n v="0"/>
    <n v="311780"/>
  </r>
  <r>
    <n v="10456"/>
    <s v="Sanjay Nair"/>
    <s v="sanjay.nair@gamil.com"/>
    <n v="9182232424"/>
    <x v="6"/>
    <x v="5"/>
    <x v="7"/>
    <x v="3"/>
    <n v="1"/>
    <n v="12188"/>
    <n v="20"/>
    <x v="227"/>
    <x v="0"/>
    <x v="0"/>
    <x v="3"/>
    <x v="4"/>
    <n v="12188"/>
    <n v="2437.6"/>
    <n v="9750.4"/>
  </r>
  <r>
    <n v="10479"/>
    <s v="Swati Verma"/>
    <s v="N/A"/>
    <n v="9675225172"/>
    <x v="5"/>
    <x v="4"/>
    <x v="3"/>
    <x v="2"/>
    <n v="3"/>
    <n v="640"/>
    <n v="0"/>
    <x v="186"/>
    <x v="2"/>
    <x v="0"/>
    <x v="4"/>
    <x v="0"/>
    <n v="1920"/>
    <n v="0"/>
    <n v="1920"/>
  </r>
  <r>
    <n v="10440"/>
    <s v="Arjun Malhotra"/>
    <s v="arjun.malhotra@gmail.com"/>
    <n v="9958696310"/>
    <x v="2"/>
    <x v="2"/>
    <x v="9"/>
    <x v="5"/>
    <n v="4"/>
    <n v="628"/>
    <n v="5"/>
    <x v="88"/>
    <x v="1"/>
    <x v="0"/>
    <x v="2"/>
    <x v="1"/>
    <n v="2512"/>
    <n v="125.6"/>
    <n v="2386.4"/>
  </r>
  <r>
    <n v="10011"/>
    <s v="Vikram Agarwal"/>
    <s v="vikram.agarwal@gamil.com"/>
    <n v="9507448302"/>
    <x v="5"/>
    <x v="4"/>
    <x v="13"/>
    <x v="3"/>
    <n v="1"/>
    <n v="2572"/>
    <n v="0"/>
    <x v="7"/>
    <x v="3"/>
    <x v="2"/>
    <x v="4"/>
    <x v="2"/>
    <n v="2572"/>
    <n v="0"/>
    <n v="2572"/>
  </r>
  <r>
    <n v="10449"/>
    <s v="Arjun Nair"/>
    <s v="arjun.nair@gamil.com"/>
    <n v="9955275089"/>
    <x v="2"/>
    <x v="2"/>
    <x v="14"/>
    <x v="0"/>
    <n v="1"/>
    <n v="1364"/>
    <n v="0"/>
    <x v="228"/>
    <x v="1"/>
    <x v="2"/>
    <x v="5"/>
    <x v="5"/>
    <n v="1364"/>
    <n v="0"/>
    <n v="1364"/>
  </r>
  <r>
    <n v="10198"/>
    <s v="Rahul Malhotra"/>
    <s v="rahul.malhotra@gamil.com"/>
    <s v="Invalid"/>
    <x v="11"/>
    <x v="0"/>
    <x v="6"/>
    <x v="4"/>
    <n v="3"/>
    <n v="2054"/>
    <n v="0"/>
    <x v="229"/>
    <x v="2"/>
    <x v="2"/>
    <x v="0"/>
    <x v="1"/>
    <n v="6162"/>
    <n v="0"/>
    <n v="6162"/>
  </r>
  <r>
    <n v="10083"/>
    <s v="Vikram Bhatt"/>
    <s v="vikram.bhatt@gamil.com"/>
    <n v="9842731097"/>
    <x v="6"/>
    <x v="5"/>
    <x v="13"/>
    <x v="3"/>
    <n v="4"/>
    <n v="3863"/>
    <n v="0"/>
    <x v="230"/>
    <x v="1"/>
    <x v="0"/>
    <x v="5"/>
    <x v="0"/>
    <n v="15452"/>
    <n v="0"/>
    <n v="15452"/>
  </r>
  <r>
    <n v="10269"/>
    <s v="Sanjay Mehta"/>
    <s v="sanjay.mehta@gamil.com"/>
    <n v="9542149487"/>
    <x v="10"/>
    <x v="8"/>
    <x v="8"/>
    <x v="3"/>
    <n v="2"/>
    <n v="21253"/>
    <n v="10"/>
    <x v="196"/>
    <x v="0"/>
    <x v="1"/>
    <x v="1"/>
    <x v="0"/>
    <n v="42506"/>
    <n v="4250.6000000000004"/>
    <n v="38255.4"/>
  </r>
  <r>
    <n v="10319"/>
    <s v="Arjun Kumar"/>
    <s v="arjun.kumar@gamil.com"/>
    <s v="Invalid"/>
    <x v="6"/>
    <x v="5"/>
    <x v="10"/>
    <x v="4"/>
    <n v="5"/>
    <n v="481"/>
    <n v="10"/>
    <x v="231"/>
    <x v="4"/>
    <x v="1"/>
    <x v="2"/>
    <x v="2"/>
    <n v="2405"/>
    <n v="240.5"/>
    <n v="2164.5"/>
  </r>
  <r>
    <n v="10015"/>
    <s v="Priya Chopra"/>
    <s v="priya.chopra@gamil.com"/>
    <n v="9100119185"/>
    <x v="8"/>
    <x v="7"/>
    <x v="4"/>
    <x v="1"/>
    <n v="1"/>
    <n v="180"/>
    <n v="5"/>
    <x v="20"/>
    <x v="3"/>
    <x v="0"/>
    <x v="2"/>
    <x v="1"/>
    <n v="180"/>
    <n v="9"/>
    <n v="171"/>
  </r>
  <r>
    <n v="10129"/>
    <s v="Rahul Rao"/>
    <s v="rahul.rao@gamil.com"/>
    <n v="9872305860"/>
    <x v="9"/>
    <x v="3"/>
    <x v="11"/>
    <x v="3"/>
    <n v="4"/>
    <n v="20758"/>
    <n v="20"/>
    <x v="35"/>
    <x v="0"/>
    <x v="0"/>
    <x v="5"/>
    <x v="1"/>
    <n v="83032"/>
    <n v="16606.400000000001"/>
    <n v="66425.600000000006"/>
  </r>
  <r>
    <n v="10494"/>
    <s v="Suresh Reddy"/>
    <s v="suresh.reddy@gamil.com"/>
    <s v="Invalid"/>
    <x v="10"/>
    <x v="8"/>
    <x v="1"/>
    <x v="1"/>
    <n v="1"/>
    <n v="199"/>
    <n v="5"/>
    <x v="232"/>
    <x v="3"/>
    <x v="0"/>
    <x v="5"/>
    <x v="4"/>
    <n v="199"/>
    <n v="9.9499999999999993"/>
    <n v="189.05"/>
  </r>
  <r>
    <n v="10058"/>
    <s v="Pooja Kumar"/>
    <s v="pooja.kumar@gamil.com"/>
    <n v="9866096692"/>
    <x v="2"/>
    <x v="2"/>
    <x v="1"/>
    <x v="1"/>
    <n v="3"/>
    <n v="186"/>
    <n v="10"/>
    <x v="233"/>
    <x v="4"/>
    <x v="1"/>
    <x v="4"/>
    <x v="0"/>
    <n v="558"/>
    <n v="55.8"/>
    <n v="502.2"/>
  </r>
  <r>
    <n v="10262"/>
    <s v="Aarav Malhotra"/>
    <s v="aarav.malhotra@gamil.com"/>
    <n v="9178754203"/>
    <x v="11"/>
    <x v="0"/>
    <x v="7"/>
    <x v="3"/>
    <n v="2"/>
    <n v="12845"/>
    <n v="5"/>
    <x v="234"/>
    <x v="1"/>
    <x v="0"/>
    <x v="4"/>
    <x v="2"/>
    <n v="25690"/>
    <n v="1284.5"/>
    <n v="24405.5"/>
  </r>
  <r>
    <n v="10242"/>
    <s v="Priya Malhotra"/>
    <s v="priya.malhotra@gmail.com"/>
    <n v="9980643798"/>
    <x v="6"/>
    <x v="5"/>
    <x v="3"/>
    <x v="2"/>
    <n v="4"/>
    <n v="376"/>
    <n v="5"/>
    <x v="176"/>
    <x v="3"/>
    <x v="0"/>
    <x v="1"/>
    <x v="0"/>
    <n v="1504"/>
    <n v="75.2"/>
    <n v="1428.8"/>
  </r>
  <r>
    <n v="10171"/>
    <s v="Deepak Sharma"/>
    <s v="deepak.sharma@gamil.com"/>
    <s v="Invalid"/>
    <x v="8"/>
    <x v="7"/>
    <x v="2"/>
    <x v="0"/>
    <n v="2"/>
    <n v="1245"/>
    <n v="0"/>
    <x v="77"/>
    <x v="3"/>
    <x v="0"/>
    <x v="2"/>
    <x v="3"/>
    <n v="2490"/>
    <n v="0"/>
    <n v="2490"/>
  </r>
  <r>
    <n v="10211"/>
    <s v="Anita Sharma"/>
    <s v="anita.sharma@gamil.com"/>
    <n v="9853500306"/>
    <x v="4"/>
    <x v="3"/>
    <x v="4"/>
    <x v="1"/>
    <n v="1"/>
    <n v="237"/>
    <n v="20"/>
    <x v="206"/>
    <x v="2"/>
    <x v="0"/>
    <x v="5"/>
    <x v="4"/>
    <n v="237"/>
    <n v="47.4"/>
    <n v="189.6"/>
  </r>
  <r>
    <n v="10215"/>
    <s v="Sanjay Malhotra"/>
    <s v="sanjay.malhotra@gamil.com"/>
    <n v="9239729505"/>
    <x v="5"/>
    <x v="4"/>
    <x v="12"/>
    <x v="5"/>
    <n v="3"/>
    <n v="344"/>
    <n v="0"/>
    <x v="99"/>
    <x v="1"/>
    <x v="0"/>
    <x v="1"/>
    <x v="5"/>
    <n v="1032"/>
    <n v="0"/>
    <n v="1032"/>
  </r>
  <r>
    <n v="10231"/>
    <s v="Ajay Patel"/>
    <s v="ajay.patel@gamil.com"/>
    <n v="9967774996"/>
    <x v="11"/>
    <x v="0"/>
    <x v="10"/>
    <x v="4"/>
    <n v="5"/>
    <n v="1184"/>
    <n v="0"/>
    <x v="218"/>
    <x v="1"/>
    <x v="0"/>
    <x v="2"/>
    <x v="1"/>
    <n v="5920"/>
    <n v="0"/>
    <n v="5920"/>
  </r>
  <r>
    <n v="10273"/>
    <s v="Vikram Yadav"/>
    <s v="vikram.yadav@gamil.com"/>
    <n v="9806642209"/>
    <x v="9"/>
    <x v="3"/>
    <x v="8"/>
    <x v="3"/>
    <n v="1"/>
    <n v="33378"/>
    <n v="5"/>
    <x v="235"/>
    <x v="3"/>
    <x v="0"/>
    <x v="1"/>
    <x v="3"/>
    <n v="33378"/>
    <n v="1668.9"/>
    <n v="31709.1"/>
  </r>
  <r>
    <n v="10133"/>
    <s v="Arjun Shah"/>
    <s v="arjun.shah@gamil.com"/>
    <n v="9291146885"/>
    <x v="11"/>
    <x v="0"/>
    <x v="4"/>
    <x v="1"/>
    <n v="1"/>
    <n v="258"/>
    <n v="0"/>
    <x v="236"/>
    <x v="4"/>
    <x v="0"/>
    <x v="2"/>
    <x v="4"/>
    <n v="258"/>
    <n v="0"/>
    <n v="258"/>
  </r>
  <r>
    <n v="10227"/>
    <s v="Sneha Sharma"/>
    <s v="sneha.sharma@gamil.com"/>
    <n v="9785399767"/>
    <x v="3"/>
    <x v="0"/>
    <x v="7"/>
    <x v="3"/>
    <n v="5"/>
    <n v="8998"/>
    <n v="15"/>
    <x v="237"/>
    <x v="0"/>
    <x v="0"/>
    <x v="4"/>
    <x v="4"/>
    <n v="44990"/>
    <n v="6748.5"/>
    <n v="38241.5"/>
  </r>
  <r>
    <n v="10221"/>
    <s v="Neha Bhatt"/>
    <s v="neha.bhatt@gamil.com"/>
    <n v="9944959645"/>
    <x v="7"/>
    <x v="6"/>
    <x v="10"/>
    <x v="4"/>
    <n v="5"/>
    <n v="1319"/>
    <n v="0"/>
    <x v="159"/>
    <x v="2"/>
    <x v="0"/>
    <x v="1"/>
    <x v="2"/>
    <n v="6595"/>
    <n v="0"/>
    <n v="6595"/>
  </r>
  <r>
    <n v="10141"/>
    <s v="Neha Chopra"/>
    <s v="neha.chopra@gamil.com"/>
    <n v="9254087473"/>
    <x v="5"/>
    <x v="4"/>
    <x v="6"/>
    <x v="4"/>
    <n v="1"/>
    <n v="2550"/>
    <n v="20"/>
    <x v="136"/>
    <x v="0"/>
    <x v="0"/>
    <x v="4"/>
    <x v="1"/>
    <n v="2550"/>
    <n v="510"/>
    <n v="2040"/>
  </r>
  <r>
    <n v="10336"/>
    <s v="Pooja Nair"/>
    <s v="pooja.nair@gamil.com"/>
    <n v="9724295871"/>
    <x v="8"/>
    <x v="7"/>
    <x v="8"/>
    <x v="3"/>
    <n v="5"/>
    <n v="32209"/>
    <n v="10"/>
    <x v="238"/>
    <x v="3"/>
    <x v="0"/>
    <x v="3"/>
    <x v="2"/>
    <n v="161045"/>
    <n v="16104.5"/>
    <n v="144940.5"/>
  </r>
  <r>
    <n v="10306"/>
    <s v="Kavita Mehta"/>
    <s v="kavita.mehta@gamil.com"/>
    <n v="9734450486"/>
    <x v="2"/>
    <x v="2"/>
    <x v="5"/>
    <x v="3"/>
    <n v="4"/>
    <n v="49087"/>
    <n v="15"/>
    <x v="189"/>
    <x v="0"/>
    <x v="0"/>
    <x v="4"/>
    <x v="4"/>
    <n v="196348"/>
    <n v="29452.2"/>
    <n v="166895.79999999999"/>
  </r>
  <r>
    <n v="10357"/>
    <s v="Rohit Desai"/>
    <s v="N/A"/>
    <n v="9310767362"/>
    <x v="1"/>
    <x v="1"/>
    <x v="9"/>
    <x v="5"/>
    <n v="3"/>
    <n v="854"/>
    <n v="0"/>
    <x v="63"/>
    <x v="0"/>
    <x v="0"/>
    <x v="3"/>
    <x v="5"/>
    <n v="2562"/>
    <n v="0"/>
    <n v="2562"/>
  </r>
  <r>
    <n v="10356"/>
    <s v="Sanjay Patel"/>
    <s v="N/A"/>
    <n v="9586375291"/>
    <x v="0"/>
    <x v="0"/>
    <x v="12"/>
    <x v="5"/>
    <n v="5"/>
    <n v="272"/>
    <n v="0"/>
    <x v="239"/>
    <x v="0"/>
    <x v="0"/>
    <x v="5"/>
    <x v="3"/>
    <n v="1360"/>
    <n v="0"/>
    <n v="1360"/>
  </r>
  <r>
    <n v="10349"/>
    <s v="Pooja Desai"/>
    <s v="pooja.desai@gamil.com"/>
    <n v="9558278909"/>
    <x v="6"/>
    <x v="5"/>
    <x v="9"/>
    <x v="5"/>
    <n v="3"/>
    <n v="798"/>
    <n v="20"/>
    <x v="171"/>
    <x v="4"/>
    <x v="0"/>
    <x v="1"/>
    <x v="3"/>
    <n v="2394"/>
    <n v="478.8"/>
    <n v="1915.2"/>
  </r>
  <r>
    <n v="10103"/>
    <s v="Swati Verma"/>
    <s v="swati.verma@gamil.com"/>
    <n v="9127893192"/>
    <x v="5"/>
    <x v="4"/>
    <x v="9"/>
    <x v="5"/>
    <n v="4"/>
    <n v="372"/>
    <n v="10"/>
    <x v="21"/>
    <x v="2"/>
    <x v="0"/>
    <x v="1"/>
    <x v="1"/>
    <n v="1488"/>
    <n v="148.80000000000001"/>
    <n v="1339.2"/>
  </r>
  <r>
    <n v="10257"/>
    <s v="Anita Reddy"/>
    <s v="anita.reddy@gamil.com"/>
    <n v="9837060301"/>
    <x v="10"/>
    <x v="8"/>
    <x v="5"/>
    <x v="3"/>
    <n v="4"/>
    <n v="62914"/>
    <n v="5"/>
    <x v="3"/>
    <x v="2"/>
    <x v="0"/>
    <x v="4"/>
    <x v="5"/>
    <n v="251656"/>
    <n v="12582.8"/>
    <n v="239073.2"/>
  </r>
  <r>
    <n v="10433"/>
    <s v="Pooja Desai"/>
    <s v="pooja.desai@gamil.com"/>
    <n v="9836821082"/>
    <x v="9"/>
    <x v="3"/>
    <x v="12"/>
    <x v="5"/>
    <n v="5"/>
    <n v="553"/>
    <n v="5"/>
    <x v="171"/>
    <x v="3"/>
    <x v="0"/>
    <x v="5"/>
    <x v="3"/>
    <n v="2765"/>
    <n v="138.25"/>
    <n v="2626.75"/>
  </r>
  <r>
    <n v="10268"/>
    <s v="Divya Nair"/>
    <s v="divya.nair@gamil.com"/>
    <n v="9999142024"/>
    <x v="9"/>
    <x v="3"/>
    <x v="12"/>
    <x v="5"/>
    <n v="2"/>
    <n v="473"/>
    <n v="10"/>
    <x v="169"/>
    <x v="1"/>
    <x v="1"/>
    <x v="3"/>
    <x v="0"/>
    <n v="946"/>
    <n v="94.6"/>
    <n v="851.4"/>
  </r>
  <r>
    <n v="10137"/>
    <s v="Rohit Patel"/>
    <s v="N/A"/>
    <n v="9221859010"/>
    <x v="5"/>
    <x v="4"/>
    <x v="4"/>
    <x v="1"/>
    <n v="3"/>
    <n v="391"/>
    <n v="0"/>
    <x v="239"/>
    <x v="4"/>
    <x v="0"/>
    <x v="1"/>
    <x v="5"/>
    <n v="1173"/>
    <n v="0"/>
    <n v="1173"/>
  </r>
  <r>
    <n v="10489"/>
    <s v="Deepak Yadav"/>
    <s v="deepak.yadav@gamil.com"/>
    <n v="9241906785"/>
    <x v="11"/>
    <x v="0"/>
    <x v="14"/>
    <x v="0"/>
    <n v="3"/>
    <n v="1132"/>
    <n v="0"/>
    <x v="240"/>
    <x v="3"/>
    <x v="0"/>
    <x v="2"/>
    <x v="2"/>
    <n v="3396"/>
    <n v="0"/>
    <n v="3396"/>
  </r>
  <r>
    <n v="10309"/>
    <s v="Divya Yadav"/>
    <s v="divya.yadav@gamil.com"/>
    <n v="9133733067"/>
    <x v="6"/>
    <x v="5"/>
    <x v="9"/>
    <x v="5"/>
    <n v="5"/>
    <n v="427"/>
    <n v="10"/>
    <x v="241"/>
    <x v="2"/>
    <x v="0"/>
    <x v="2"/>
    <x v="1"/>
    <n v="2135"/>
    <n v="213.5"/>
    <n v="1921.5"/>
  </r>
  <r>
    <n v="10088"/>
    <s v="Amit Malhotra"/>
    <s v="amit.malhotra@gamil.com"/>
    <n v="9533569522"/>
    <x v="7"/>
    <x v="6"/>
    <x v="14"/>
    <x v="0"/>
    <n v="2"/>
    <n v="2407"/>
    <n v="0"/>
    <x v="3"/>
    <x v="2"/>
    <x v="0"/>
    <x v="5"/>
    <x v="0"/>
    <n v="4814"/>
    <n v="0"/>
    <n v="4814"/>
  </r>
  <r>
    <n v="10457"/>
    <s v="Arjun Iyer"/>
    <s v="N/A"/>
    <n v="9214868289"/>
    <x v="0"/>
    <x v="0"/>
    <x v="7"/>
    <x v="3"/>
    <n v="5"/>
    <n v="8161"/>
    <n v="0"/>
    <x v="239"/>
    <x v="0"/>
    <x v="0"/>
    <x v="1"/>
    <x v="5"/>
    <n v="40805"/>
    <n v="0"/>
    <n v="40805"/>
  </r>
  <r>
    <n v="10453"/>
    <s v="Rahul Patel"/>
    <s v="rahul.patel@gamil.com"/>
    <s v="Invalid"/>
    <x v="7"/>
    <x v="6"/>
    <x v="6"/>
    <x v="4"/>
    <n v="3"/>
    <n v="3699"/>
    <n v="0"/>
    <x v="242"/>
    <x v="1"/>
    <x v="0"/>
    <x v="4"/>
    <x v="0"/>
    <n v="11097"/>
    <n v="0"/>
    <n v="11097"/>
  </r>
  <r>
    <n v="10316"/>
    <s v="Neha Nair"/>
    <s v="neha.nair@gmail.com"/>
    <n v="9179337540"/>
    <x v="5"/>
    <x v="4"/>
    <x v="3"/>
    <x v="2"/>
    <n v="3"/>
    <n v="615"/>
    <n v="0"/>
    <x v="243"/>
    <x v="2"/>
    <x v="1"/>
    <x v="2"/>
    <x v="0"/>
    <n v="1845"/>
    <n v="0"/>
    <n v="1845"/>
  </r>
  <r>
    <n v="10277"/>
    <s v="Ritu Agarwal"/>
    <s v="ritu.agarwal@gamil.com"/>
    <n v="9338565329"/>
    <x v="11"/>
    <x v="0"/>
    <x v="5"/>
    <x v="3"/>
    <n v="3"/>
    <n v="55885"/>
    <n v="0"/>
    <x v="212"/>
    <x v="3"/>
    <x v="0"/>
    <x v="3"/>
    <x v="2"/>
    <n v="167655"/>
    <n v="0"/>
    <n v="167655"/>
  </r>
  <r>
    <n v="10169"/>
    <s v="Sneha Iyer"/>
    <s v="sneha.iyer@gamil.com"/>
    <n v="9961629449"/>
    <x v="7"/>
    <x v="6"/>
    <x v="8"/>
    <x v="3"/>
    <n v="4"/>
    <n v="14929"/>
    <n v="0"/>
    <x v="237"/>
    <x v="4"/>
    <x v="0"/>
    <x v="2"/>
    <x v="0"/>
    <n v="59716"/>
    <n v="0"/>
    <n v="59716"/>
  </r>
  <r>
    <n v="10462"/>
    <s v="Sanjay Nair"/>
    <s v="sanjay.nair@gamil.com"/>
    <n v="9185053035"/>
    <x v="2"/>
    <x v="2"/>
    <x v="1"/>
    <x v="1"/>
    <n v="5"/>
    <n v="63"/>
    <n v="20"/>
    <x v="244"/>
    <x v="4"/>
    <x v="0"/>
    <x v="1"/>
    <x v="1"/>
    <n v="315"/>
    <n v="63"/>
    <n v="252"/>
  </r>
  <r>
    <n v="10323"/>
    <s v="Deepak Agarwal"/>
    <s v="deepak.agarwal@gamil.com"/>
    <n v="9203966930"/>
    <x v="2"/>
    <x v="2"/>
    <x v="2"/>
    <x v="0"/>
    <n v="3"/>
    <n v="995"/>
    <n v="0"/>
    <x v="245"/>
    <x v="2"/>
    <x v="2"/>
    <x v="0"/>
    <x v="0"/>
    <n v="2985"/>
    <n v="0"/>
    <n v="2985"/>
  </r>
  <r>
    <n v="10110"/>
    <s v="Suresh Bhatt"/>
    <s v="suresh.bhatt@gamil.com"/>
    <n v="9611467907"/>
    <x v="2"/>
    <x v="2"/>
    <x v="7"/>
    <x v="3"/>
    <n v="1"/>
    <n v="8700"/>
    <n v="10"/>
    <x v="100"/>
    <x v="3"/>
    <x v="0"/>
    <x v="2"/>
    <x v="2"/>
    <n v="8700"/>
    <n v="870"/>
    <n v="7830"/>
  </r>
  <r>
    <n v="10480"/>
    <s v="Kavita Chopra"/>
    <s v="kavita.chopra@gamil.com"/>
    <s v="Invalid"/>
    <x v="10"/>
    <x v="8"/>
    <x v="11"/>
    <x v="3"/>
    <n v="3"/>
    <n v="29641"/>
    <n v="15"/>
    <x v="167"/>
    <x v="0"/>
    <x v="1"/>
    <x v="1"/>
    <x v="1"/>
    <n v="88923"/>
    <n v="13338.45"/>
    <n v="75584.55"/>
  </r>
  <r>
    <n v="10217"/>
    <s v="Pooja Desai"/>
    <s v="pooja.desai@gamil.com"/>
    <s v="Invalid"/>
    <x v="10"/>
    <x v="8"/>
    <x v="14"/>
    <x v="0"/>
    <n v="5"/>
    <n v="1971"/>
    <n v="0"/>
    <x v="95"/>
    <x v="1"/>
    <x v="0"/>
    <x v="4"/>
    <x v="0"/>
    <n v="9855"/>
    <n v="0"/>
    <n v="9855"/>
  </r>
  <r>
    <n v="10202"/>
    <s v="Anita Rao"/>
    <s v="N/A"/>
    <n v="9352886115"/>
    <x v="8"/>
    <x v="7"/>
    <x v="12"/>
    <x v="5"/>
    <n v="2"/>
    <n v="215"/>
    <n v="15"/>
    <x v="130"/>
    <x v="1"/>
    <x v="0"/>
    <x v="3"/>
    <x v="2"/>
    <n v="430"/>
    <n v="64.5"/>
    <n v="365.5"/>
  </r>
  <r>
    <n v="10442"/>
    <s v="Amit Iyer"/>
    <s v="amit.iyer@gamil.com"/>
    <n v="9391609997"/>
    <x v="8"/>
    <x v="7"/>
    <x v="8"/>
    <x v="3"/>
    <n v="4"/>
    <n v="24295"/>
    <n v="0"/>
    <x v="171"/>
    <x v="4"/>
    <x v="0"/>
    <x v="4"/>
    <x v="4"/>
    <n v="97180"/>
    <n v="0"/>
    <n v="97180"/>
  </r>
  <r>
    <n v="10279"/>
    <s v="Sanjay Reddy"/>
    <s v="sanjay.reddy@gamil.com"/>
    <s v="Invalid"/>
    <x v="1"/>
    <x v="1"/>
    <x v="6"/>
    <x v="4"/>
    <n v="2"/>
    <n v="2908"/>
    <n v="15"/>
    <x v="179"/>
    <x v="3"/>
    <x v="0"/>
    <x v="2"/>
    <x v="3"/>
    <n v="5816"/>
    <n v="872.4"/>
    <n v="4943.6000000000004"/>
  </r>
  <r>
    <n v="10412"/>
    <s v="Sanjay Chopra"/>
    <s v="sanjay.chopra@gamil.com"/>
    <n v="9904242640"/>
    <x v="3"/>
    <x v="0"/>
    <x v="11"/>
    <x v="3"/>
    <n v="3"/>
    <n v="16988"/>
    <n v="0"/>
    <x v="246"/>
    <x v="1"/>
    <x v="0"/>
    <x v="1"/>
    <x v="5"/>
    <n v="50964"/>
    <n v="0"/>
    <n v="50964"/>
  </r>
  <r>
    <n v="10285"/>
    <s v="Anita Sharma"/>
    <s v="anita.sharma@gamil.com"/>
    <s v="Invalid"/>
    <x v="5"/>
    <x v="4"/>
    <x v="3"/>
    <x v="2"/>
    <n v="1"/>
    <n v="703"/>
    <n v="20"/>
    <x v="247"/>
    <x v="1"/>
    <x v="0"/>
    <x v="4"/>
    <x v="2"/>
    <n v="703"/>
    <n v="140.6"/>
    <n v="562.4"/>
  </r>
  <r>
    <n v="10431"/>
    <s v="Rahul Rao"/>
    <s v="N/A"/>
    <n v="9428303355"/>
    <x v="9"/>
    <x v="3"/>
    <x v="7"/>
    <x v="3"/>
    <n v="4"/>
    <n v="12569"/>
    <n v="20"/>
    <x v="248"/>
    <x v="3"/>
    <x v="0"/>
    <x v="1"/>
    <x v="5"/>
    <n v="50276"/>
    <n v="10055.200000000001"/>
    <n v="40220.800000000003"/>
  </r>
  <r>
    <n v="10018"/>
    <s v="Neha Bhatt"/>
    <s v="neha.bhatt@gmail.com"/>
    <n v="9576726420"/>
    <x v="9"/>
    <x v="3"/>
    <x v="6"/>
    <x v="4"/>
    <n v="1"/>
    <n v="3281"/>
    <n v="0"/>
    <x v="225"/>
    <x v="2"/>
    <x v="0"/>
    <x v="2"/>
    <x v="2"/>
    <n v="3281"/>
    <n v="0"/>
    <n v="3281"/>
  </r>
  <r>
    <n v="10123"/>
    <s v="Deepak Sharma"/>
    <s v="deepak.sharma@gamil.com"/>
    <n v="9769553681"/>
    <x v="9"/>
    <x v="3"/>
    <x v="11"/>
    <x v="3"/>
    <n v="5"/>
    <n v="18107"/>
    <n v="5"/>
    <x v="245"/>
    <x v="3"/>
    <x v="0"/>
    <x v="4"/>
    <x v="1"/>
    <n v="90535"/>
    <n v="4526.75"/>
    <n v="86008.25"/>
  </r>
  <r>
    <n v="10417"/>
    <s v="Rahul Malhotra"/>
    <s v="rahul.malhotra@gamil.com"/>
    <n v="9762268691"/>
    <x v="2"/>
    <x v="2"/>
    <x v="10"/>
    <x v="4"/>
    <n v="3"/>
    <n v="1207"/>
    <n v="20"/>
    <x v="199"/>
    <x v="4"/>
    <x v="0"/>
    <x v="4"/>
    <x v="3"/>
    <n v="3621"/>
    <n v="724.2"/>
    <n v="2896.8"/>
  </r>
  <r>
    <n v="10310"/>
    <s v="Pooja Singh"/>
    <s v="pooja.singh@gamil.com"/>
    <n v="9294567050"/>
    <x v="4"/>
    <x v="3"/>
    <x v="6"/>
    <x v="4"/>
    <n v="2"/>
    <n v="1805"/>
    <n v="0"/>
    <x v="249"/>
    <x v="2"/>
    <x v="0"/>
    <x v="5"/>
    <x v="1"/>
    <n v="3610"/>
    <n v="0"/>
    <n v="3610"/>
  </r>
  <r>
    <n v="10379"/>
    <s v="Deepak Yadav"/>
    <s v="deepak.yadav@gamil.com"/>
    <n v="9583864464"/>
    <x v="1"/>
    <x v="1"/>
    <x v="3"/>
    <x v="2"/>
    <n v="4"/>
    <n v="632"/>
    <n v="0"/>
    <x v="214"/>
    <x v="1"/>
    <x v="0"/>
    <x v="5"/>
    <x v="2"/>
    <n v="2528"/>
    <n v="0"/>
    <n v="2528"/>
  </r>
  <r>
    <n v="10338"/>
    <s v="Arjun Iyer"/>
    <s v="arjun.iyer@gamil.com"/>
    <n v="9155322403"/>
    <x v="4"/>
    <x v="3"/>
    <x v="10"/>
    <x v="4"/>
    <n v="3"/>
    <n v="880"/>
    <n v="20"/>
    <x v="43"/>
    <x v="2"/>
    <x v="0"/>
    <x v="2"/>
    <x v="2"/>
    <n v="2640"/>
    <n v="528"/>
    <n v="2112"/>
  </r>
  <r>
    <n v="10419"/>
    <s v="Sanjay Reddy"/>
    <s v="sanjay.reddy@gamil.com"/>
    <n v="9338986276"/>
    <x v="0"/>
    <x v="0"/>
    <x v="12"/>
    <x v="5"/>
    <n v="3"/>
    <n v="269"/>
    <n v="0"/>
    <x v="250"/>
    <x v="0"/>
    <x v="0"/>
    <x v="1"/>
    <x v="0"/>
    <n v="807"/>
    <n v="0"/>
    <n v="807"/>
  </r>
  <r>
    <n v="10164"/>
    <s v="Suresh Shah"/>
    <s v="suresh.shah@gamil.com"/>
    <n v="9826885275"/>
    <x v="9"/>
    <x v="3"/>
    <x v="11"/>
    <x v="3"/>
    <n v="3"/>
    <n v="16714"/>
    <n v="20"/>
    <x v="186"/>
    <x v="4"/>
    <x v="0"/>
    <x v="4"/>
    <x v="0"/>
    <n v="50142"/>
    <n v="10028.4"/>
    <n v="40113.599999999999"/>
  </r>
  <r>
    <n v="10180"/>
    <s v="Sanjay Desai"/>
    <s v="sanjay.desai@gamil.com"/>
    <n v="9442919550"/>
    <x v="5"/>
    <x v="4"/>
    <x v="13"/>
    <x v="3"/>
    <n v="2"/>
    <n v="4463"/>
    <n v="0"/>
    <x v="251"/>
    <x v="1"/>
    <x v="0"/>
    <x v="1"/>
    <x v="4"/>
    <n v="8926"/>
    <n v="0"/>
    <n v="8926"/>
  </r>
  <r>
    <n v="10477"/>
    <s v="Priya Reddy"/>
    <s v="N/A"/>
    <n v="9608647439"/>
    <x v="5"/>
    <x v="4"/>
    <x v="11"/>
    <x v="3"/>
    <n v="1"/>
    <n v="15686"/>
    <n v="0"/>
    <x v="226"/>
    <x v="4"/>
    <x v="0"/>
    <x v="5"/>
    <x v="0"/>
    <n v="15686"/>
    <n v="0"/>
    <n v="15686"/>
  </r>
  <r>
    <n v="10241"/>
    <s v="Pooja Yadav"/>
    <s v="pooja.yadav@gamil.com"/>
    <s v="Invalid"/>
    <x v="10"/>
    <x v="8"/>
    <x v="9"/>
    <x v="5"/>
    <n v="2"/>
    <n v="960"/>
    <n v="5"/>
    <x v="164"/>
    <x v="4"/>
    <x v="0"/>
    <x v="1"/>
    <x v="1"/>
    <n v="1920"/>
    <n v="96"/>
    <n v="1824"/>
  </r>
  <r>
    <n v="10046"/>
    <s v="Ajay Gupta"/>
    <s v="ajay.gupta@gamil.com"/>
    <s v="Invalid"/>
    <x v="6"/>
    <x v="5"/>
    <x v="9"/>
    <x v="5"/>
    <n v="5"/>
    <n v="322"/>
    <n v="0"/>
    <x v="73"/>
    <x v="1"/>
    <x v="0"/>
    <x v="0"/>
    <x v="0"/>
    <n v="1610"/>
    <n v="0"/>
    <n v="1610"/>
  </r>
  <r>
    <n v="10213"/>
    <s v="Vikram Iyer"/>
    <s v="vikram.iyer@gamil.com"/>
    <n v="9165427895"/>
    <x v="5"/>
    <x v="4"/>
    <x v="14"/>
    <x v="0"/>
    <n v="2"/>
    <n v="975"/>
    <n v="20"/>
    <x v="116"/>
    <x v="2"/>
    <x v="0"/>
    <x v="5"/>
    <x v="1"/>
    <n v="1950"/>
    <n v="390"/>
    <n v="1560"/>
  </r>
  <r>
    <n v="10461"/>
    <s v="Arjun Shah"/>
    <s v="arjun.shah@gamil.com"/>
    <n v="9618530679"/>
    <x v="10"/>
    <x v="8"/>
    <x v="7"/>
    <x v="3"/>
    <n v="2"/>
    <n v="12661"/>
    <n v="10"/>
    <x v="135"/>
    <x v="3"/>
    <x v="0"/>
    <x v="3"/>
    <x v="4"/>
    <n v="25322"/>
    <n v="2532.1999999999998"/>
    <n v="22789.8"/>
  </r>
  <r>
    <n v="10437"/>
    <s v="Vikram Bhatt"/>
    <s v="vikram.bhatt@gamil.com"/>
    <n v="9569450596"/>
    <x v="8"/>
    <x v="7"/>
    <x v="13"/>
    <x v="3"/>
    <n v="1"/>
    <n v="4519"/>
    <n v="20"/>
    <x v="252"/>
    <x v="4"/>
    <x v="0"/>
    <x v="3"/>
    <x v="4"/>
    <n v="4519"/>
    <n v="903.8"/>
    <n v="3615.2"/>
  </r>
  <r>
    <n v="10325"/>
    <s v="Kavita Joshi"/>
    <s v="kavita.joshi@gamil.com"/>
    <n v="9882666639"/>
    <x v="1"/>
    <x v="1"/>
    <x v="10"/>
    <x v="4"/>
    <n v="1"/>
    <n v="648"/>
    <n v="15"/>
    <x v="196"/>
    <x v="1"/>
    <x v="1"/>
    <x v="3"/>
    <x v="4"/>
    <n v="648"/>
    <n v="97.2"/>
    <n v="550.79999999999995"/>
  </r>
  <r>
    <n v="10361"/>
    <s v="Priya Reddy"/>
    <s v="priya.reddy@gamil.com"/>
    <n v="9101746119"/>
    <x v="7"/>
    <x v="6"/>
    <x v="13"/>
    <x v="3"/>
    <n v="2"/>
    <n v="2737"/>
    <n v="0"/>
    <x v="253"/>
    <x v="2"/>
    <x v="0"/>
    <x v="2"/>
    <x v="4"/>
    <n v="5474"/>
    <n v="0"/>
    <n v="5474"/>
  </r>
  <r>
    <n v="10179"/>
    <s v="Arjun Chopra"/>
    <s v="arjun.chopra@gamil.com"/>
    <n v="9927723467"/>
    <x v="3"/>
    <x v="0"/>
    <x v="2"/>
    <x v="0"/>
    <n v="2"/>
    <n v="1667"/>
    <n v="0"/>
    <x v="254"/>
    <x v="3"/>
    <x v="0"/>
    <x v="4"/>
    <x v="0"/>
    <n v="3334"/>
    <n v="0"/>
    <n v="3334"/>
  </r>
  <r>
    <n v="10400"/>
    <s v="Pooja Desai"/>
    <s v="pooja.desai@gamil.com"/>
    <n v="9935564827"/>
    <x v="0"/>
    <x v="0"/>
    <x v="8"/>
    <x v="3"/>
    <n v="3"/>
    <n v="34426"/>
    <n v="15"/>
    <x v="124"/>
    <x v="1"/>
    <x v="0"/>
    <x v="3"/>
    <x v="4"/>
    <n v="103278"/>
    <n v="15491.7"/>
    <n v="87786.3"/>
  </r>
  <r>
    <n v="10057"/>
    <s v="Deepak Agarwal"/>
    <s v="deepak.agarwal@gmail.com"/>
    <s v="Invalid"/>
    <x v="3"/>
    <x v="0"/>
    <x v="1"/>
    <x v="1"/>
    <n v="1"/>
    <n v="124"/>
    <n v="5"/>
    <x v="255"/>
    <x v="2"/>
    <x v="0"/>
    <x v="2"/>
    <x v="3"/>
    <n v="124"/>
    <n v="6.2"/>
    <n v="117.8"/>
  </r>
  <r>
    <n v="10337"/>
    <s v="Pooja Verma"/>
    <s v="pooja.verma@gamil.com"/>
    <n v="9696578672"/>
    <x v="2"/>
    <x v="2"/>
    <x v="2"/>
    <x v="0"/>
    <n v="2"/>
    <n v="1785"/>
    <n v="0"/>
    <x v="146"/>
    <x v="2"/>
    <x v="0"/>
    <x v="1"/>
    <x v="1"/>
    <n v="3570"/>
    <n v="0"/>
    <n v="3570"/>
  </r>
  <r>
    <n v="10093"/>
    <s v="Anita Nair"/>
    <s v="anita.nair@gamil.com"/>
    <n v="9303378390"/>
    <x v="9"/>
    <x v="3"/>
    <x v="14"/>
    <x v="0"/>
    <n v="5"/>
    <n v="1949"/>
    <n v="20"/>
    <x v="225"/>
    <x v="4"/>
    <x v="0"/>
    <x v="2"/>
    <x v="2"/>
    <n v="9745"/>
    <n v="1949"/>
    <n v="7796"/>
  </r>
  <r>
    <n v="10318"/>
    <s v="Suresh Malhotra"/>
    <s v="suresh.malhotra@gamil.com"/>
    <n v="9999973191"/>
    <x v="8"/>
    <x v="7"/>
    <x v="7"/>
    <x v="3"/>
    <n v="4"/>
    <n v="8088"/>
    <n v="5"/>
    <x v="256"/>
    <x v="1"/>
    <x v="0"/>
    <x v="0"/>
    <x v="0"/>
    <n v="32352"/>
    <n v="1617.6"/>
    <n v="30734.400000000001"/>
  </r>
  <r>
    <n v="10115"/>
    <s v="Aarav Joshi"/>
    <s v="aarav.joshi@gamil.com"/>
    <n v="9192498086"/>
    <x v="7"/>
    <x v="6"/>
    <x v="13"/>
    <x v="3"/>
    <n v="5"/>
    <n v="3856"/>
    <n v="0"/>
    <x v="78"/>
    <x v="2"/>
    <x v="0"/>
    <x v="4"/>
    <x v="2"/>
    <n v="19280"/>
    <n v="0"/>
    <n v="19280"/>
  </r>
  <r>
    <n v="10009"/>
    <s v="Pooja Kumar"/>
    <s v="pooja.kumar@gamil.com"/>
    <n v="9999275638"/>
    <x v="7"/>
    <x v="6"/>
    <x v="7"/>
    <x v="3"/>
    <n v="2"/>
    <n v="10703"/>
    <n v="0"/>
    <x v="130"/>
    <x v="3"/>
    <x v="0"/>
    <x v="3"/>
    <x v="0"/>
    <n v="21406"/>
    <n v="0"/>
    <n v="21406"/>
  </r>
  <r>
    <n v="10458"/>
    <s v="Neha Kumar"/>
    <s v="neha.kumar@gamil.com"/>
    <n v="9120464416"/>
    <x v="11"/>
    <x v="0"/>
    <x v="6"/>
    <x v="4"/>
    <n v="3"/>
    <n v="2905"/>
    <n v="0"/>
    <x v="17"/>
    <x v="2"/>
    <x v="0"/>
    <x v="2"/>
    <x v="0"/>
    <n v="8715"/>
    <n v="0"/>
    <n v="8715"/>
  </r>
  <r>
    <n v="10346"/>
    <s v="Anita Bhatt"/>
    <s v="anita.bhatt@gamil.com"/>
    <n v="9139992943"/>
    <x v="0"/>
    <x v="0"/>
    <x v="0"/>
    <x v="0"/>
    <n v="2"/>
    <n v="619"/>
    <n v="0"/>
    <x v="257"/>
    <x v="2"/>
    <x v="0"/>
    <x v="2"/>
    <x v="3"/>
    <n v="1238"/>
    <n v="0"/>
    <n v="1238"/>
  </r>
  <r>
    <n v="10498"/>
    <s v="Meena Kapoor"/>
    <s v="N/A"/>
    <n v="9885334836"/>
    <x v="8"/>
    <x v="7"/>
    <x v="14"/>
    <x v="0"/>
    <n v="3"/>
    <n v="1784"/>
    <n v="0"/>
    <x v="235"/>
    <x v="3"/>
    <x v="0"/>
    <x v="3"/>
    <x v="1"/>
    <n v="5352"/>
    <n v="0"/>
    <n v="5352"/>
  </r>
  <r>
    <n v="10384"/>
    <s v="Deepak Gupta"/>
    <s v="deepak.gupta@gamil.com"/>
    <n v="9212954531"/>
    <x v="5"/>
    <x v="4"/>
    <x v="2"/>
    <x v="0"/>
    <n v="3"/>
    <n v="625"/>
    <n v="10"/>
    <x v="198"/>
    <x v="1"/>
    <x v="0"/>
    <x v="4"/>
    <x v="4"/>
    <n v="1875"/>
    <n v="187.5"/>
    <n v="1687.5"/>
  </r>
  <r>
    <n v="10500"/>
    <s v="Arjun Kumar"/>
    <s v="arjun.kumar@gamil.com"/>
    <n v="9221653091"/>
    <x v="3"/>
    <x v="0"/>
    <x v="1"/>
    <x v="1"/>
    <n v="5"/>
    <n v="75"/>
    <n v="0"/>
    <x v="172"/>
    <x v="4"/>
    <x v="0"/>
    <x v="4"/>
    <x v="3"/>
    <n v="375"/>
    <n v="0"/>
    <n v="375"/>
  </r>
  <r>
    <n v="10375"/>
    <s v="Aarav Joshi"/>
    <s v="aarav.joshi@gamil.com"/>
    <n v="9340135002"/>
    <x v="11"/>
    <x v="0"/>
    <x v="0"/>
    <x v="0"/>
    <n v="2"/>
    <n v="404"/>
    <n v="5"/>
    <x v="174"/>
    <x v="4"/>
    <x v="0"/>
    <x v="4"/>
    <x v="2"/>
    <n v="808"/>
    <n v="40.4"/>
    <n v="767.6"/>
  </r>
  <r>
    <n v="10471"/>
    <s v="Amit Malhotra"/>
    <s v="amit.malhotra@gamil.com"/>
    <n v="9425248972"/>
    <x v="10"/>
    <x v="8"/>
    <x v="10"/>
    <x v="4"/>
    <n v="1"/>
    <n v="580"/>
    <n v="15"/>
    <x v="58"/>
    <x v="0"/>
    <x v="1"/>
    <x v="2"/>
    <x v="2"/>
    <n v="580"/>
    <n v="87"/>
    <n v="493"/>
  </r>
  <r>
    <n v="10254"/>
    <s v="Pooja Patel"/>
    <s v="pooja.patel@gmail.com"/>
    <n v="9126942786"/>
    <x v="5"/>
    <x v="4"/>
    <x v="9"/>
    <x v="5"/>
    <n v="4"/>
    <n v="410"/>
    <n v="20"/>
    <x v="258"/>
    <x v="4"/>
    <x v="0"/>
    <x v="3"/>
    <x v="0"/>
    <n v="1640"/>
    <n v="328"/>
    <n v="1312"/>
  </r>
  <r>
    <n v="10416"/>
    <s v="Sneha Yadav"/>
    <s v="sneha.yadav@gamil.com"/>
    <n v="9944971164"/>
    <x v="6"/>
    <x v="5"/>
    <x v="8"/>
    <x v="3"/>
    <n v="3"/>
    <n v="32638"/>
    <n v="0"/>
    <x v="259"/>
    <x v="3"/>
    <x v="0"/>
    <x v="4"/>
    <x v="0"/>
    <n v="97914"/>
    <n v="0"/>
    <n v="97914"/>
  </r>
  <r>
    <n v="10034"/>
    <s v="Anita Rao"/>
    <s v="anita.rao@gamil.com"/>
    <s v="Invalid"/>
    <x v="2"/>
    <x v="2"/>
    <x v="12"/>
    <x v="5"/>
    <n v="3"/>
    <n v="473"/>
    <n v="0"/>
    <x v="250"/>
    <x v="0"/>
    <x v="0"/>
    <x v="0"/>
    <x v="5"/>
    <n v="1419"/>
    <n v="0"/>
    <n v="1419"/>
  </r>
  <r>
    <n v="10207"/>
    <s v="Amit Iyer"/>
    <s v="amit.iyer@gamil.com"/>
    <n v="9191247467"/>
    <x v="6"/>
    <x v="5"/>
    <x v="0"/>
    <x v="0"/>
    <n v="5"/>
    <n v="664"/>
    <n v="0"/>
    <x v="145"/>
    <x v="3"/>
    <x v="1"/>
    <x v="3"/>
    <x v="1"/>
    <n v="3320"/>
    <n v="0"/>
    <n v="3320"/>
  </r>
  <r>
    <n v="10230"/>
    <s v="Meena Shah"/>
    <s v="meena.shah@gamil.com"/>
    <n v="9129827943"/>
    <x v="3"/>
    <x v="0"/>
    <x v="9"/>
    <x v="5"/>
    <n v="5"/>
    <n v="498"/>
    <n v="10"/>
    <x v="260"/>
    <x v="1"/>
    <x v="0"/>
    <x v="3"/>
    <x v="1"/>
    <n v="2490"/>
    <n v="249"/>
    <n v="2241"/>
  </r>
  <r>
    <n v="10191"/>
    <s v="Neha Chopra"/>
    <s v="neha.chopra@gamil.com"/>
    <n v="9782732853"/>
    <x v="6"/>
    <x v="5"/>
    <x v="1"/>
    <x v="1"/>
    <n v="3"/>
    <n v="161"/>
    <n v="0"/>
    <x v="231"/>
    <x v="4"/>
    <x v="0"/>
    <x v="0"/>
    <x v="3"/>
    <n v="483"/>
    <n v="0"/>
    <n v="483"/>
  </r>
  <r>
    <n v="10345"/>
    <s v="Meena Reddy"/>
    <s v="meena.reddy@gmail.com"/>
    <n v="9342436932"/>
    <x v="10"/>
    <x v="8"/>
    <x v="14"/>
    <x v="0"/>
    <n v="4"/>
    <n v="1037"/>
    <n v="0"/>
    <x v="250"/>
    <x v="2"/>
    <x v="0"/>
    <x v="2"/>
    <x v="1"/>
    <n v="4148"/>
    <n v="0"/>
    <n v="4148"/>
  </r>
  <r>
    <n v="10228"/>
    <s v="Amit Reddy"/>
    <s v="amit.reddy@gamil.com"/>
    <n v="9776391174"/>
    <x v="9"/>
    <x v="3"/>
    <x v="8"/>
    <x v="3"/>
    <n v="1"/>
    <n v="15519"/>
    <n v="0"/>
    <x v="23"/>
    <x v="3"/>
    <x v="0"/>
    <x v="2"/>
    <x v="4"/>
    <n v="15519"/>
    <n v="0"/>
    <n v="15519"/>
  </r>
  <r>
    <n v="10106"/>
    <s v="Divya Chopra"/>
    <s v="divya.chopra@gamil.com"/>
    <n v="9679363017"/>
    <x v="11"/>
    <x v="0"/>
    <x v="5"/>
    <x v="3"/>
    <n v="4"/>
    <n v="60267"/>
    <n v="5"/>
    <x v="185"/>
    <x v="2"/>
    <x v="0"/>
    <x v="4"/>
    <x v="5"/>
    <n v="241068"/>
    <n v="12053.4"/>
    <n v="229014.6"/>
  </r>
  <r>
    <n v="10055"/>
    <s v="Amit Shah"/>
    <s v="amit.shah@gamil.com"/>
    <n v="9388219584"/>
    <x v="6"/>
    <x v="5"/>
    <x v="7"/>
    <x v="3"/>
    <n v="2"/>
    <n v="5811"/>
    <n v="15"/>
    <x v="158"/>
    <x v="0"/>
    <x v="0"/>
    <x v="1"/>
    <x v="1"/>
    <n v="11622"/>
    <n v="1743.3"/>
    <n v="9878.7000000000007"/>
  </r>
  <r>
    <n v="10490"/>
    <s v="Ritu Joshi"/>
    <s v="ritu.joshi@gamil.com"/>
    <n v="9602518754"/>
    <x v="8"/>
    <x v="7"/>
    <x v="10"/>
    <x v="4"/>
    <n v="1"/>
    <n v="685"/>
    <n v="10"/>
    <x v="162"/>
    <x v="0"/>
    <x v="0"/>
    <x v="4"/>
    <x v="2"/>
    <n v="685"/>
    <n v="68.5"/>
    <n v="616.5"/>
  </r>
  <r>
    <n v="10320"/>
    <s v="Kavita Joshi"/>
    <s v="kavita.joshi@gamil.com"/>
    <n v="9908927019"/>
    <x v="0"/>
    <x v="0"/>
    <x v="2"/>
    <x v="0"/>
    <n v="5"/>
    <n v="1183"/>
    <n v="5"/>
    <x v="69"/>
    <x v="2"/>
    <x v="0"/>
    <x v="3"/>
    <x v="3"/>
    <n v="5915"/>
    <n v="295.75"/>
    <n v="5619.25"/>
  </r>
  <r>
    <n v="10076"/>
    <s v="Anita Rao"/>
    <s v="N/A"/>
    <n v="9684361241"/>
    <x v="6"/>
    <x v="5"/>
    <x v="12"/>
    <x v="5"/>
    <n v="4"/>
    <n v="595"/>
    <n v="0"/>
    <x v="189"/>
    <x v="2"/>
    <x v="0"/>
    <x v="2"/>
    <x v="1"/>
    <n v="2380"/>
    <n v="0"/>
    <n v="2380"/>
  </r>
  <r>
    <n v="10142"/>
    <s v="Sneha Rao"/>
    <s v="sneha.rao@gamil.com"/>
    <n v="9462690716"/>
    <x v="1"/>
    <x v="1"/>
    <x v="9"/>
    <x v="5"/>
    <n v="1"/>
    <n v="585"/>
    <n v="10"/>
    <x v="243"/>
    <x v="3"/>
    <x v="0"/>
    <x v="0"/>
    <x v="2"/>
    <n v="585"/>
    <n v="58.5"/>
    <n v="526.5"/>
  </r>
  <r>
    <n v="10256"/>
    <s v="Pooja Singh"/>
    <s v="pooja.singh@gamil.com"/>
    <n v="9974306861"/>
    <x v="9"/>
    <x v="3"/>
    <x v="11"/>
    <x v="3"/>
    <n v="5"/>
    <n v="19844"/>
    <n v="0"/>
    <x v="171"/>
    <x v="3"/>
    <x v="0"/>
    <x v="5"/>
    <x v="3"/>
    <n v="99220"/>
    <n v="0"/>
    <n v="99220"/>
  </r>
  <r>
    <n v="10374"/>
    <s v="Vikram Agarwal"/>
    <s v="vikram.agarwal@gamil.com"/>
    <n v="9432087879"/>
    <x v="9"/>
    <x v="3"/>
    <x v="12"/>
    <x v="5"/>
    <n v="4"/>
    <n v="215"/>
    <n v="0"/>
    <x v="123"/>
    <x v="1"/>
    <x v="0"/>
    <x v="4"/>
    <x v="2"/>
    <n v="860"/>
    <n v="0"/>
    <n v="860"/>
  </r>
  <r>
    <n v="10331"/>
    <s v="Ritu Joshi"/>
    <s v="ritu.joshi@gamil.com"/>
    <n v="9269188063"/>
    <x v="5"/>
    <x v="4"/>
    <x v="5"/>
    <x v="3"/>
    <n v="1"/>
    <n v="52268"/>
    <n v="15"/>
    <x v="52"/>
    <x v="3"/>
    <x v="0"/>
    <x v="5"/>
    <x v="3"/>
    <n v="52268"/>
    <n v="7840.2"/>
    <n v="44427.8"/>
  </r>
  <r>
    <n v="10109"/>
    <s v="Suresh Shah"/>
    <s v="suresh.shah@gamil.com"/>
    <n v="9853206684"/>
    <x v="9"/>
    <x v="3"/>
    <x v="4"/>
    <x v="1"/>
    <n v="2"/>
    <n v="221"/>
    <n v="5"/>
    <x v="116"/>
    <x v="1"/>
    <x v="0"/>
    <x v="3"/>
    <x v="4"/>
    <n v="442"/>
    <n v="22.1"/>
    <n v="419.9"/>
  </r>
  <r>
    <n v="10432"/>
    <s v="Sneha Iyer"/>
    <s v="sneha.iyer@gamil.com"/>
    <s v="Invalid"/>
    <x v="7"/>
    <x v="6"/>
    <x v="2"/>
    <x v="0"/>
    <n v="2"/>
    <n v="1424"/>
    <n v="20"/>
    <x v="87"/>
    <x v="3"/>
    <x v="0"/>
    <x v="0"/>
    <x v="2"/>
    <n v="2848"/>
    <n v="569.6"/>
    <n v="2278.4"/>
  </r>
  <r>
    <n v="10052"/>
    <s v="Arjun Nair"/>
    <s v="arjun.nair@gamil.com"/>
    <n v="9511216452"/>
    <x v="3"/>
    <x v="0"/>
    <x v="9"/>
    <x v="5"/>
    <n v="3"/>
    <n v="825"/>
    <n v="0"/>
    <x v="94"/>
    <x v="3"/>
    <x v="0"/>
    <x v="0"/>
    <x v="0"/>
    <n v="2475"/>
    <n v="0"/>
    <n v="2475"/>
  </r>
  <r>
    <n v="10263"/>
    <s v="Ritu Singh"/>
    <s v="N/A"/>
    <n v="9370298074"/>
    <x v="8"/>
    <x v="7"/>
    <x v="13"/>
    <x v="3"/>
    <n v="3"/>
    <n v="2576"/>
    <n v="15"/>
    <x v="20"/>
    <x v="3"/>
    <x v="1"/>
    <x v="1"/>
    <x v="1"/>
    <n v="7728"/>
    <n v="1159.2"/>
    <n v="6568.8"/>
  </r>
  <r>
    <n v="10267"/>
    <s v="Kavita Patel"/>
    <s v="N/A"/>
    <n v="9752441924"/>
    <x v="2"/>
    <x v="2"/>
    <x v="0"/>
    <x v="0"/>
    <n v="4"/>
    <n v="857"/>
    <n v="20"/>
    <x v="176"/>
    <x v="2"/>
    <x v="0"/>
    <x v="5"/>
    <x v="3"/>
    <n v="3428"/>
    <n v="685.6"/>
    <n v="2742.4"/>
  </r>
  <r>
    <n v="10299"/>
    <s v="Pooja Verma"/>
    <s v="pooja.verma@gamil.com"/>
    <s v="Invalid"/>
    <x v="1"/>
    <x v="1"/>
    <x v="14"/>
    <x v="0"/>
    <n v="5"/>
    <n v="1661"/>
    <n v="0"/>
    <x v="261"/>
    <x v="1"/>
    <x v="0"/>
    <x v="4"/>
    <x v="5"/>
    <n v="8305"/>
    <n v="0"/>
    <n v="8305"/>
  </r>
  <r>
    <n v="10495"/>
    <s v="Deepak Verma"/>
    <s v="deepak.verma@gamil.com"/>
    <n v="9924710516"/>
    <x v="11"/>
    <x v="0"/>
    <x v="4"/>
    <x v="1"/>
    <n v="4"/>
    <n v="350"/>
    <n v="20"/>
    <x v="249"/>
    <x v="1"/>
    <x v="2"/>
    <x v="0"/>
    <x v="0"/>
    <n v="1400"/>
    <n v="280"/>
    <n v="1120"/>
  </r>
  <r>
    <n v="10395"/>
    <s v="Aarav Yadav"/>
    <s v="aarav.yadav@gamil.com"/>
    <s v="Invalid"/>
    <x v="8"/>
    <x v="7"/>
    <x v="9"/>
    <x v="5"/>
    <n v="3"/>
    <n v="863"/>
    <n v="0"/>
    <x v="84"/>
    <x v="3"/>
    <x v="0"/>
    <x v="4"/>
    <x v="1"/>
    <n v="2589"/>
    <n v="0"/>
    <n v="2589"/>
  </r>
  <r>
    <n v="10157"/>
    <s v="Arjun Sharma"/>
    <s v="arjun.sharma@gmail.com"/>
    <n v="9965406941"/>
    <x v="1"/>
    <x v="1"/>
    <x v="11"/>
    <x v="3"/>
    <n v="1"/>
    <n v="21513"/>
    <n v="20"/>
    <x v="210"/>
    <x v="3"/>
    <x v="0"/>
    <x v="5"/>
    <x v="5"/>
    <n v="21513"/>
    <n v="4302.6000000000004"/>
    <n v="17210.400000000001"/>
  </r>
  <r>
    <n v="10287"/>
    <s v="Suresh Bhatt"/>
    <s v="suresh.bhatt@gamil.com"/>
    <s v="Invalid"/>
    <x v="8"/>
    <x v="7"/>
    <x v="7"/>
    <x v="3"/>
    <n v="1"/>
    <n v="12747"/>
    <n v="15"/>
    <x v="50"/>
    <x v="3"/>
    <x v="0"/>
    <x v="5"/>
    <x v="1"/>
    <n v="12747"/>
    <n v="1912.05"/>
    <n v="10834.95"/>
  </r>
  <r>
    <n v="10140"/>
    <s v="Meena Reddy"/>
    <s v="meena.reddy@gmail.com"/>
    <n v="9482339227"/>
    <x v="3"/>
    <x v="0"/>
    <x v="0"/>
    <x v="0"/>
    <n v="5"/>
    <n v="407"/>
    <n v="10"/>
    <x v="30"/>
    <x v="3"/>
    <x v="0"/>
    <x v="1"/>
    <x v="4"/>
    <n v="2035"/>
    <n v="203.5"/>
    <n v="1831.5"/>
  </r>
  <r>
    <n v="10411"/>
    <s v="Sneha Yadav"/>
    <s v="N/A"/>
    <n v="9122871316"/>
    <x v="3"/>
    <x v="0"/>
    <x v="13"/>
    <x v="3"/>
    <n v="2"/>
    <n v="4997"/>
    <n v="0"/>
    <x v="150"/>
    <x v="2"/>
    <x v="0"/>
    <x v="3"/>
    <x v="1"/>
    <n v="9994"/>
    <n v="0"/>
    <n v="9994"/>
  </r>
  <r>
    <n v="10408"/>
    <s v="Amit Agarwal"/>
    <s v="amit.agarwal@gamil.com"/>
    <n v="9971542034"/>
    <x v="4"/>
    <x v="3"/>
    <x v="2"/>
    <x v="0"/>
    <n v="5"/>
    <n v="1562"/>
    <n v="0"/>
    <x v="262"/>
    <x v="3"/>
    <x v="0"/>
    <x v="2"/>
    <x v="5"/>
    <n v="7810"/>
    <n v="0"/>
    <n v="7810"/>
  </r>
  <r>
    <n v="10278"/>
    <s v="Swati Yadav"/>
    <s v="swati.yadav@gamil.com"/>
    <n v="9392727965"/>
    <x v="7"/>
    <x v="6"/>
    <x v="4"/>
    <x v="1"/>
    <n v="3"/>
    <n v="360"/>
    <n v="0"/>
    <x v="263"/>
    <x v="4"/>
    <x v="0"/>
    <x v="5"/>
    <x v="1"/>
    <n v="1080"/>
    <n v="0"/>
    <n v="1080"/>
  </r>
  <r>
    <n v="10259"/>
    <s v="Neha Mehta"/>
    <s v="neha.mehta@gamil.com"/>
    <n v="9338234664"/>
    <x v="4"/>
    <x v="3"/>
    <x v="0"/>
    <x v="0"/>
    <n v="4"/>
    <n v="836"/>
    <n v="15"/>
    <x v="17"/>
    <x v="2"/>
    <x v="0"/>
    <x v="3"/>
    <x v="1"/>
    <n v="3344"/>
    <n v="501.6"/>
    <n v="2842.4"/>
  </r>
  <r>
    <n v="10056"/>
    <s v="Ajay Patel"/>
    <s v="ajay.patel@gamil.com"/>
    <n v="9862674005"/>
    <x v="7"/>
    <x v="6"/>
    <x v="2"/>
    <x v="0"/>
    <n v="1"/>
    <n v="998"/>
    <n v="0"/>
    <x v="202"/>
    <x v="4"/>
    <x v="0"/>
    <x v="0"/>
    <x v="1"/>
    <n v="998"/>
    <n v="0"/>
    <n v="998"/>
  </r>
  <r>
    <n v="10246"/>
    <s v="Arjun Kumar"/>
    <s v="arjun.kumar@gamil.com"/>
    <s v="Invalid"/>
    <x v="3"/>
    <x v="0"/>
    <x v="13"/>
    <x v="3"/>
    <n v="4"/>
    <n v="1835"/>
    <n v="5"/>
    <x v="44"/>
    <x v="2"/>
    <x v="0"/>
    <x v="1"/>
    <x v="2"/>
    <n v="7340"/>
    <n v="367"/>
    <n v="6973"/>
  </r>
  <r>
    <n v="10239"/>
    <s v="Vikram Sharma"/>
    <s v="vikram.sharma@gamil.com"/>
    <s v="Invalid"/>
    <x v="8"/>
    <x v="7"/>
    <x v="3"/>
    <x v="2"/>
    <n v="5"/>
    <n v="648"/>
    <n v="10"/>
    <x v="205"/>
    <x v="2"/>
    <x v="0"/>
    <x v="5"/>
    <x v="5"/>
    <n v="3240"/>
    <n v="324"/>
    <n v="2916"/>
  </r>
  <r>
    <n v="10232"/>
    <s v="Arjun Agarwal"/>
    <s v="arjun.agarwal@gamil.com"/>
    <n v="9758369053"/>
    <x v="6"/>
    <x v="5"/>
    <x v="4"/>
    <x v="1"/>
    <n v="3"/>
    <n v="206"/>
    <n v="5"/>
    <x v="123"/>
    <x v="3"/>
    <x v="0"/>
    <x v="5"/>
    <x v="0"/>
    <n v="618"/>
    <n v="30.9"/>
    <n v="587.1"/>
  </r>
  <r>
    <n v="10182"/>
    <s v="Sanjay Malhotra"/>
    <s v="sanjay.malhotra@gamil.com"/>
    <n v="9878042848"/>
    <x v="7"/>
    <x v="6"/>
    <x v="14"/>
    <x v="0"/>
    <n v="5"/>
    <n v="1926"/>
    <n v="20"/>
    <x v="264"/>
    <x v="1"/>
    <x v="0"/>
    <x v="1"/>
    <x v="5"/>
    <n v="9630"/>
    <n v="1926"/>
    <n v="7704"/>
  </r>
  <r>
    <n v="10212"/>
    <s v="Arjun Malhotra"/>
    <s v="arjun.malhotra@gamil.com"/>
    <n v="9349599779"/>
    <x v="9"/>
    <x v="3"/>
    <x v="10"/>
    <x v="4"/>
    <n v="5"/>
    <n v="560"/>
    <n v="0"/>
    <x v="256"/>
    <x v="3"/>
    <x v="0"/>
    <x v="5"/>
    <x v="2"/>
    <n v="2800"/>
    <n v="0"/>
    <n v="2800"/>
  </r>
  <r>
    <n v="10151"/>
    <s v="Divya Yadav"/>
    <s v="divya.yadav@gamil.com"/>
    <n v="9933418356"/>
    <x v="11"/>
    <x v="0"/>
    <x v="1"/>
    <x v="1"/>
    <n v="4"/>
    <n v="108"/>
    <n v="20"/>
    <x v="43"/>
    <x v="1"/>
    <x v="0"/>
    <x v="5"/>
    <x v="0"/>
    <n v="432"/>
    <n v="86.4"/>
    <n v="345.6"/>
  </r>
  <r>
    <n v="10022"/>
    <s v="Deepak Agarwal"/>
    <s v="deepak.agarwal@gamil.com"/>
    <s v="Invalid"/>
    <x v="0"/>
    <x v="0"/>
    <x v="5"/>
    <x v="3"/>
    <n v="4"/>
    <n v="53800"/>
    <n v="5"/>
    <x v="40"/>
    <x v="0"/>
    <x v="0"/>
    <x v="5"/>
    <x v="1"/>
    <n v="215200"/>
    <n v="10760"/>
    <n v="204440"/>
  </r>
  <r>
    <n v="10121"/>
    <s v="Neha Kumar"/>
    <s v="N/A"/>
    <n v="9643034113"/>
    <x v="5"/>
    <x v="4"/>
    <x v="9"/>
    <x v="5"/>
    <n v="5"/>
    <n v="839"/>
    <n v="15"/>
    <x v="265"/>
    <x v="3"/>
    <x v="0"/>
    <x v="3"/>
    <x v="5"/>
    <n v="4195"/>
    <n v="629.25"/>
    <n v="3565.75"/>
  </r>
  <r>
    <n v="10187"/>
    <s v="Deepak Gupta"/>
    <s v="deepak.gupta@gamil.com"/>
    <n v="9252051767"/>
    <x v="11"/>
    <x v="0"/>
    <x v="3"/>
    <x v="2"/>
    <n v="5"/>
    <n v="781"/>
    <n v="5"/>
    <x v="36"/>
    <x v="3"/>
    <x v="0"/>
    <x v="3"/>
    <x v="4"/>
    <n v="3905"/>
    <n v="195.25"/>
    <n v="3709.75"/>
  </r>
  <r>
    <n v="10296"/>
    <s v="Vikram Bhatt"/>
    <s v="vikram.bhatt@gamil.com"/>
    <n v="9631711095"/>
    <x v="10"/>
    <x v="8"/>
    <x v="8"/>
    <x v="3"/>
    <n v="5"/>
    <n v="33793"/>
    <n v="15"/>
    <x v="27"/>
    <x v="0"/>
    <x v="0"/>
    <x v="1"/>
    <x v="0"/>
    <n v="168965"/>
    <n v="25344.75"/>
    <n v="143620.25"/>
  </r>
  <r>
    <n v="10112"/>
    <s v="Sanjay Nair"/>
    <s v="N/A"/>
    <n v="9310838362"/>
    <x v="11"/>
    <x v="0"/>
    <x v="14"/>
    <x v="0"/>
    <n v="2"/>
    <n v="918"/>
    <n v="0"/>
    <x v="29"/>
    <x v="0"/>
    <x v="0"/>
    <x v="4"/>
    <x v="4"/>
    <n v="1836"/>
    <n v="0"/>
    <n v="1836"/>
  </r>
  <r>
    <n v="10114"/>
    <s v="Amit Malhotra"/>
    <s v="amit.malhotra@gamil.com"/>
    <n v="9360363208"/>
    <x v="6"/>
    <x v="5"/>
    <x v="0"/>
    <x v="0"/>
    <n v="1"/>
    <n v="816"/>
    <n v="15"/>
    <x v="266"/>
    <x v="1"/>
    <x v="0"/>
    <x v="0"/>
    <x v="5"/>
    <n v="816"/>
    <n v="122.4"/>
    <n v="693.6"/>
  </r>
  <r>
    <n v="10260"/>
    <s v="Ritu Verma"/>
    <s v="ritu.verma@gamil.com"/>
    <n v="9823302432"/>
    <x v="3"/>
    <x v="0"/>
    <x v="6"/>
    <x v="4"/>
    <n v="3"/>
    <n v="1972"/>
    <n v="0"/>
    <x v="267"/>
    <x v="0"/>
    <x v="0"/>
    <x v="2"/>
    <x v="3"/>
    <n v="5916"/>
    <n v="0"/>
    <n v="5916"/>
  </r>
  <r>
    <n v="10073"/>
    <s v="Amit Nair"/>
    <s v="amit.nair@gamil.com"/>
    <n v="9145463415"/>
    <x v="6"/>
    <x v="5"/>
    <x v="7"/>
    <x v="3"/>
    <n v="4"/>
    <n v="13269"/>
    <n v="5"/>
    <x v="268"/>
    <x v="2"/>
    <x v="0"/>
    <x v="3"/>
    <x v="5"/>
    <n v="53076"/>
    <n v="2653.8"/>
    <n v="50422.2"/>
  </r>
  <r>
    <n v="10415"/>
    <s v="Aarav Kapoor"/>
    <s v="aarav.kapoor@gamil.com"/>
    <n v="9958384556"/>
    <x v="1"/>
    <x v="1"/>
    <x v="11"/>
    <x v="3"/>
    <n v="3"/>
    <n v="16335"/>
    <n v="0"/>
    <x v="89"/>
    <x v="1"/>
    <x v="0"/>
    <x v="4"/>
    <x v="2"/>
    <n v="49005"/>
    <n v="0"/>
    <n v="49005"/>
  </r>
  <r>
    <n v="10454"/>
    <s v="Vikram Bhatt"/>
    <s v="vikram.bhatt@gamil.com"/>
    <n v="9663174080"/>
    <x v="4"/>
    <x v="3"/>
    <x v="6"/>
    <x v="4"/>
    <n v="5"/>
    <n v="4304"/>
    <n v="20"/>
    <x v="8"/>
    <x v="3"/>
    <x v="0"/>
    <x v="1"/>
    <x v="2"/>
    <n v="21520"/>
    <n v="4304"/>
    <n v="17216"/>
  </r>
  <r>
    <n v="10168"/>
    <s v="Kavita Bhatt"/>
    <s v="kavita.bhatt@gamil.com"/>
    <n v="9634170262"/>
    <x v="2"/>
    <x v="2"/>
    <x v="9"/>
    <x v="5"/>
    <n v="5"/>
    <n v="648"/>
    <n v="0"/>
    <x v="108"/>
    <x v="4"/>
    <x v="0"/>
    <x v="4"/>
    <x v="2"/>
    <n v="3240"/>
    <n v="0"/>
    <n v="3240"/>
  </r>
  <r>
    <n v="10097"/>
    <s v="Pooja Desai"/>
    <s v="pooja.desai@gamil.com"/>
    <n v="9946150157"/>
    <x v="9"/>
    <x v="3"/>
    <x v="4"/>
    <x v="1"/>
    <n v="1"/>
    <n v="314"/>
    <n v="0"/>
    <x v="269"/>
    <x v="1"/>
    <x v="0"/>
    <x v="3"/>
    <x v="2"/>
    <n v="314"/>
    <n v="0"/>
    <n v="314"/>
  </r>
  <r>
    <n v="10376"/>
    <s v="Swati Verma"/>
    <s v="swati.verma@gamil.com"/>
    <n v="9704998577"/>
    <x v="10"/>
    <x v="8"/>
    <x v="8"/>
    <x v="3"/>
    <n v="5"/>
    <n v="29342"/>
    <n v="0"/>
    <x v="72"/>
    <x v="0"/>
    <x v="0"/>
    <x v="2"/>
    <x v="1"/>
    <n v="146710"/>
    <n v="0"/>
    <n v="146710"/>
  </r>
  <r>
    <n v="10300"/>
    <s v="Meena Patel"/>
    <s v="meena.patel@gmail.com"/>
    <n v="9681797748"/>
    <x v="5"/>
    <x v="4"/>
    <x v="3"/>
    <x v="2"/>
    <n v="5"/>
    <n v="534"/>
    <n v="5"/>
    <x v="130"/>
    <x v="4"/>
    <x v="0"/>
    <x v="2"/>
    <x v="3"/>
    <n v="2670"/>
    <n v="133.5"/>
    <n v="2536.5"/>
  </r>
  <r>
    <n v="10199"/>
    <s v="Amit Iyer"/>
    <s v="amit.iyer@gamil.com"/>
    <n v="9785665156"/>
    <x v="6"/>
    <x v="5"/>
    <x v="3"/>
    <x v="2"/>
    <n v="1"/>
    <n v="793"/>
    <n v="15"/>
    <x v="122"/>
    <x v="1"/>
    <x v="0"/>
    <x v="4"/>
    <x v="5"/>
    <n v="793"/>
    <n v="118.95"/>
    <n v="674.05"/>
  </r>
  <r>
    <n v="10430"/>
    <s v="Sneha Chopra"/>
    <s v="sneha.chopra@gmail.com"/>
    <n v="9133005121"/>
    <x v="4"/>
    <x v="3"/>
    <x v="14"/>
    <x v="0"/>
    <n v="5"/>
    <n v="1275"/>
    <n v="0"/>
    <x v="270"/>
    <x v="1"/>
    <x v="0"/>
    <x v="5"/>
    <x v="0"/>
    <n v="6375"/>
    <n v="0"/>
    <n v="6375"/>
  </r>
  <r>
    <n v="10280"/>
    <s v="Arjun Malhotra"/>
    <s v="arjun.malhotra@gamil.com"/>
    <n v="9211631378"/>
    <x v="10"/>
    <x v="8"/>
    <x v="12"/>
    <x v="5"/>
    <n v="4"/>
    <n v="459"/>
    <n v="0"/>
    <x v="271"/>
    <x v="0"/>
    <x v="2"/>
    <x v="4"/>
    <x v="1"/>
    <n v="1836"/>
    <n v="0"/>
    <n v="1836"/>
  </r>
  <r>
    <n v="10369"/>
    <s v="Meena Nair"/>
    <s v="meena.nair@gamil.com"/>
    <n v="9104256500"/>
    <x v="0"/>
    <x v="0"/>
    <x v="0"/>
    <x v="0"/>
    <n v="3"/>
    <n v="1198"/>
    <n v="0"/>
    <x v="272"/>
    <x v="1"/>
    <x v="0"/>
    <x v="4"/>
    <x v="5"/>
    <n v="3594"/>
    <n v="0"/>
    <n v="3594"/>
  </r>
  <r>
    <n v="10220"/>
    <s v="Deepak Agarwal"/>
    <s v="deepak.agarwal@gamil.com"/>
    <n v="9580678079"/>
    <x v="2"/>
    <x v="2"/>
    <x v="5"/>
    <x v="3"/>
    <n v="3"/>
    <n v="58493"/>
    <n v="0"/>
    <x v="33"/>
    <x v="1"/>
    <x v="0"/>
    <x v="2"/>
    <x v="5"/>
    <n v="175479"/>
    <n v="0"/>
    <n v="175479"/>
  </r>
  <r>
    <n v="10237"/>
    <s v="Pooja Desai"/>
    <s v="pooja.desai@gamil.com"/>
    <n v="9894214023"/>
    <x v="8"/>
    <x v="7"/>
    <x v="10"/>
    <x v="4"/>
    <n v="3"/>
    <n v="695"/>
    <n v="0"/>
    <x v="273"/>
    <x v="3"/>
    <x v="0"/>
    <x v="5"/>
    <x v="5"/>
    <n v="2085"/>
    <n v="0"/>
    <n v="2085"/>
  </r>
  <r>
    <n v="10362"/>
    <s v="Priya Chopra"/>
    <s v="priya.chopra@gamil.com"/>
    <n v="9105740054"/>
    <x v="3"/>
    <x v="0"/>
    <x v="1"/>
    <x v="1"/>
    <n v="2"/>
    <n v="49"/>
    <n v="0"/>
    <x v="274"/>
    <x v="4"/>
    <x v="0"/>
    <x v="4"/>
    <x v="2"/>
    <n v="98"/>
    <n v="0"/>
    <n v="98"/>
  </r>
  <r>
    <n v="10438"/>
    <s v="Divya Kumar"/>
    <s v="N/A"/>
    <n v="9132014326"/>
    <x v="6"/>
    <x v="5"/>
    <x v="3"/>
    <x v="2"/>
    <n v="2"/>
    <n v="644"/>
    <n v="0"/>
    <x v="199"/>
    <x v="3"/>
    <x v="0"/>
    <x v="4"/>
    <x v="3"/>
    <n v="1288"/>
    <n v="0"/>
    <n v="12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F9A27A-97BE-49FA-9211-E58E32E45CA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0" firstHeaderRow="1" firstDataRow="1" firstDataCol="1"/>
  <pivotFields count="21">
    <pivotField showAll="0"/>
    <pivotField showAll="0"/>
    <pivotField showAll="0"/>
    <pivotField showAll="0"/>
    <pivotField showAll="0"/>
    <pivotField showAll="0">
      <items count="10">
        <item x="6"/>
        <item x="3"/>
        <item x="1"/>
        <item x="0"/>
        <item x="8"/>
        <item x="4"/>
        <item x="7"/>
        <item x="2"/>
        <item x="5"/>
        <item t="default"/>
      </items>
    </pivotField>
    <pivotField showAll="0"/>
    <pivotField axis="axisRow" showAll="0" sortType="ascending">
      <items count="7">
        <item x="5"/>
        <item x="2"/>
        <item x="0"/>
        <item x="3"/>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276">
        <item x="242"/>
        <item x="233"/>
        <item x="118"/>
        <item x="213"/>
        <item x="227"/>
        <item x="159"/>
        <item x="17"/>
        <item x="6"/>
        <item x="273"/>
        <item x="92"/>
        <item x="90"/>
        <item x="106"/>
        <item x="98"/>
        <item x="59"/>
        <item x="109"/>
        <item x="176"/>
        <item x="162"/>
        <item x="72"/>
        <item x="180"/>
        <item x="173"/>
        <item x="158"/>
        <item x="148"/>
        <item x="141"/>
        <item x="94"/>
        <item x="155"/>
        <item x="29"/>
        <item x="169"/>
        <item x="183"/>
        <item x="79"/>
        <item x="181"/>
        <item x="192"/>
        <item x="202"/>
        <item x="170"/>
        <item x="139"/>
        <item x="123"/>
        <item x="145"/>
        <item x="243"/>
        <item x="128"/>
        <item x="179"/>
        <item x="249"/>
        <item x="53"/>
        <item x="93"/>
        <item x="133"/>
        <item x="71"/>
        <item x="205"/>
        <item x="38"/>
        <item x="95"/>
        <item x="236"/>
        <item x="97"/>
        <item x="70"/>
        <item x="206"/>
        <item x="246"/>
        <item x="104"/>
        <item x="177"/>
        <item x="68"/>
        <item x="81"/>
        <item x="57"/>
        <item x="67"/>
        <item x="112"/>
        <item x="264"/>
        <item x="259"/>
        <item x="35"/>
        <item x="163"/>
        <item x="270"/>
        <item x="42"/>
        <item x="126"/>
        <item x="157"/>
        <item x="113"/>
        <item x="167"/>
        <item x="110"/>
        <item x="160"/>
        <item x="232"/>
        <item x="257"/>
        <item x="239"/>
        <item x="260"/>
        <item x="30"/>
        <item x="220"/>
        <item x="172"/>
        <item x="190"/>
        <item x="234"/>
        <item x="108"/>
        <item x="168"/>
        <item x="152"/>
        <item x="36"/>
        <item x="262"/>
        <item x="189"/>
        <item x="265"/>
        <item x="210"/>
        <item x="15"/>
        <item x="237"/>
        <item x="161"/>
        <item x="69"/>
        <item x="266"/>
        <item x="85"/>
        <item x="65"/>
        <item x="105"/>
        <item x="102"/>
        <item x="203"/>
        <item x="121"/>
        <item x="52"/>
        <item x="48"/>
        <item x="11"/>
        <item x="144"/>
        <item x="197"/>
        <item x="19"/>
        <item x="251"/>
        <item x="269"/>
        <item x="219"/>
        <item x="66"/>
        <item x="166"/>
        <item x="23"/>
        <item x="12"/>
        <item x="0"/>
        <item x="229"/>
        <item x="199"/>
        <item x="135"/>
        <item x="198"/>
        <item x="209"/>
        <item x="49"/>
        <item x="174"/>
        <item x="201"/>
        <item x="39"/>
        <item x="221"/>
        <item x="34"/>
        <item x="119"/>
        <item x="62"/>
        <item x="142"/>
        <item x="204"/>
        <item x="241"/>
        <item x="175"/>
        <item x="211"/>
        <item x="43"/>
        <item x="214"/>
        <item x="76"/>
        <item x="178"/>
        <item x="124"/>
        <item x="207"/>
        <item x="50"/>
        <item x="225"/>
        <item x="226"/>
        <item x="82"/>
        <item x="96"/>
        <item x="21"/>
        <item x="28"/>
        <item x="37"/>
        <item x="200"/>
        <item x="86"/>
        <item x="187"/>
        <item x="103"/>
        <item x="125"/>
        <item x="115"/>
        <item x="267"/>
        <item x="143"/>
        <item x="32"/>
        <item x="61"/>
        <item x="120"/>
        <item x="20"/>
        <item x="74"/>
        <item x="18"/>
        <item x="89"/>
        <item x="248"/>
        <item x="41"/>
        <item x="244"/>
        <item x="33"/>
        <item x="252"/>
        <item x="274"/>
        <item x="140"/>
        <item x="114"/>
        <item x="14"/>
        <item x="22"/>
        <item x="216"/>
        <item x="47"/>
        <item x="224"/>
        <item x="64"/>
        <item x="228"/>
        <item x="184"/>
        <item x="138"/>
        <item x="150"/>
        <item x="54"/>
        <item x="268"/>
        <item x="263"/>
        <item x="146"/>
        <item x="24"/>
        <item x="107"/>
        <item x="44"/>
        <item x="131"/>
        <item x="151"/>
        <item x="231"/>
        <item x="10"/>
        <item x="134"/>
        <item x="25"/>
        <item x="91"/>
        <item x="78"/>
        <item x="188"/>
        <item x="111"/>
        <item x="101"/>
        <item x="171"/>
        <item x="194"/>
        <item x="212"/>
        <item x="230"/>
        <item x="247"/>
        <item x="8"/>
        <item x="261"/>
        <item x="208"/>
        <item x="46"/>
        <item x="223"/>
        <item x="245"/>
        <item x="240"/>
        <item x="156"/>
        <item x="154"/>
        <item x="122"/>
        <item x="129"/>
        <item x="238"/>
        <item x="132"/>
        <item x="84"/>
        <item x="1"/>
        <item x="116"/>
        <item x="130"/>
        <item x="254"/>
        <item x="9"/>
        <item x="272"/>
        <item x="75"/>
        <item x="58"/>
        <item x="88"/>
        <item x="250"/>
        <item x="222"/>
        <item x="5"/>
        <item x="40"/>
        <item x="2"/>
        <item x="7"/>
        <item x="235"/>
        <item x="51"/>
        <item x="31"/>
        <item x="186"/>
        <item x="149"/>
        <item x="117"/>
        <item x="4"/>
        <item x="191"/>
        <item x="215"/>
        <item x="100"/>
        <item x="193"/>
        <item x="255"/>
        <item x="195"/>
        <item x="165"/>
        <item x="136"/>
        <item x="147"/>
        <item x="60"/>
        <item x="217"/>
        <item x="13"/>
        <item x="83"/>
        <item x="185"/>
        <item x="87"/>
        <item x="271"/>
        <item x="26"/>
        <item x="127"/>
        <item x="182"/>
        <item x="63"/>
        <item x="73"/>
        <item x="77"/>
        <item x="258"/>
        <item x="80"/>
        <item x="218"/>
        <item x="256"/>
        <item x="16"/>
        <item x="253"/>
        <item x="196"/>
        <item x="137"/>
        <item x="55"/>
        <item x="164"/>
        <item x="153"/>
        <item x="56"/>
        <item x="27"/>
        <item x="3"/>
        <item x="45"/>
        <item x="99"/>
        <item t="default"/>
      </items>
    </pivotField>
    <pivotField showAll="0">
      <items count="6">
        <item x="4"/>
        <item x="1"/>
        <item x="0"/>
        <item x="2"/>
        <item x="3"/>
        <item t="default"/>
      </items>
    </pivotField>
    <pivotField showAll="0"/>
    <pivotField showAll="0">
      <items count="7">
        <item x="2"/>
        <item x="3"/>
        <item x="5"/>
        <item x="4"/>
        <item x="1"/>
        <item x="0"/>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7">
    <i>
      <x v="5"/>
    </i>
    <i>
      <x v="1"/>
    </i>
    <i>
      <x/>
    </i>
    <i>
      <x v="2"/>
    </i>
    <i>
      <x v="4"/>
    </i>
    <i>
      <x v="3"/>
    </i>
    <i t="grand">
      <x/>
    </i>
  </rowItems>
  <colItems count="1">
    <i/>
  </colItems>
  <dataFields count="1">
    <dataField name="Sum of Final Price" fld="18" baseField="0" baseItem="0" numFmtId="164"/>
  </dataFields>
  <formats count="2">
    <format dxfId="12">
      <pivotArea outline="0" collapsedLevelsAreSubtotals="1" fieldPosition="0"/>
    </format>
    <format dxfId="1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A3C2D8-1BC3-4E25-AA7E-7EB6D246821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1">
    <pivotField dataField="1" showAll="0"/>
    <pivotField showAll="0"/>
    <pivotField showAll="0"/>
    <pivotField showAll="0"/>
    <pivotField showAll="0"/>
    <pivotField showAll="0">
      <items count="10">
        <item x="6"/>
        <item x="3"/>
        <item x="1"/>
        <item x="0"/>
        <item x="8"/>
        <item x="4"/>
        <item x="7"/>
        <item x="2"/>
        <item x="5"/>
        <item t="default"/>
      </items>
    </pivotField>
    <pivotField showAll="0"/>
    <pivotField showAll="0">
      <items count="7">
        <item x="5"/>
        <item x="2"/>
        <item x="0"/>
        <item x="3"/>
        <item x="4"/>
        <item x="1"/>
        <item t="default"/>
      </items>
    </pivotField>
    <pivotField showAll="0"/>
    <pivotField showAll="0"/>
    <pivotField showAll="0"/>
    <pivotField numFmtId="14" showAll="0">
      <items count="276">
        <item x="242"/>
        <item x="233"/>
        <item x="118"/>
        <item x="213"/>
        <item x="227"/>
        <item x="159"/>
        <item x="17"/>
        <item x="6"/>
        <item x="273"/>
        <item x="92"/>
        <item x="90"/>
        <item x="106"/>
        <item x="98"/>
        <item x="59"/>
        <item x="109"/>
        <item x="176"/>
        <item x="162"/>
        <item x="72"/>
        <item x="180"/>
        <item x="173"/>
        <item x="158"/>
        <item x="148"/>
        <item x="141"/>
        <item x="94"/>
        <item x="155"/>
        <item x="29"/>
        <item x="169"/>
        <item x="183"/>
        <item x="79"/>
        <item x="181"/>
        <item x="192"/>
        <item x="202"/>
        <item x="170"/>
        <item x="139"/>
        <item x="123"/>
        <item x="145"/>
        <item x="243"/>
        <item x="128"/>
        <item x="179"/>
        <item x="249"/>
        <item x="53"/>
        <item x="93"/>
        <item x="133"/>
        <item x="71"/>
        <item x="205"/>
        <item x="38"/>
        <item x="95"/>
        <item x="236"/>
        <item x="97"/>
        <item x="70"/>
        <item x="206"/>
        <item x="246"/>
        <item x="104"/>
        <item x="177"/>
        <item x="68"/>
        <item x="81"/>
        <item x="57"/>
        <item x="67"/>
        <item x="112"/>
        <item x="264"/>
        <item x="259"/>
        <item x="35"/>
        <item x="163"/>
        <item x="270"/>
        <item x="42"/>
        <item x="126"/>
        <item x="157"/>
        <item x="113"/>
        <item x="167"/>
        <item x="110"/>
        <item x="160"/>
        <item x="232"/>
        <item x="257"/>
        <item x="239"/>
        <item x="260"/>
        <item x="30"/>
        <item x="220"/>
        <item x="172"/>
        <item x="190"/>
        <item x="234"/>
        <item x="108"/>
        <item x="168"/>
        <item x="152"/>
        <item x="36"/>
        <item x="262"/>
        <item x="189"/>
        <item x="265"/>
        <item x="210"/>
        <item x="15"/>
        <item x="237"/>
        <item x="161"/>
        <item x="69"/>
        <item x="266"/>
        <item x="85"/>
        <item x="65"/>
        <item x="105"/>
        <item x="102"/>
        <item x="203"/>
        <item x="121"/>
        <item x="52"/>
        <item x="48"/>
        <item x="11"/>
        <item x="144"/>
        <item x="197"/>
        <item x="19"/>
        <item x="251"/>
        <item x="269"/>
        <item x="219"/>
        <item x="66"/>
        <item x="166"/>
        <item x="23"/>
        <item x="12"/>
        <item x="0"/>
        <item x="229"/>
        <item x="199"/>
        <item x="135"/>
        <item x="198"/>
        <item x="209"/>
        <item x="49"/>
        <item x="174"/>
        <item x="201"/>
        <item x="39"/>
        <item x="221"/>
        <item x="34"/>
        <item x="119"/>
        <item x="62"/>
        <item x="142"/>
        <item x="204"/>
        <item x="241"/>
        <item x="175"/>
        <item x="211"/>
        <item x="43"/>
        <item x="214"/>
        <item x="76"/>
        <item x="178"/>
        <item x="124"/>
        <item x="207"/>
        <item x="50"/>
        <item x="225"/>
        <item x="226"/>
        <item x="82"/>
        <item x="96"/>
        <item x="21"/>
        <item x="28"/>
        <item x="37"/>
        <item x="200"/>
        <item x="86"/>
        <item x="187"/>
        <item x="103"/>
        <item x="125"/>
        <item x="115"/>
        <item x="267"/>
        <item x="143"/>
        <item x="32"/>
        <item x="61"/>
        <item x="120"/>
        <item x="20"/>
        <item x="74"/>
        <item x="18"/>
        <item x="89"/>
        <item x="248"/>
        <item x="41"/>
        <item x="244"/>
        <item x="33"/>
        <item x="252"/>
        <item x="274"/>
        <item x="140"/>
        <item x="114"/>
        <item x="14"/>
        <item x="22"/>
        <item x="216"/>
        <item x="47"/>
        <item x="224"/>
        <item x="64"/>
        <item x="228"/>
        <item x="184"/>
        <item x="138"/>
        <item x="150"/>
        <item x="54"/>
        <item x="268"/>
        <item x="263"/>
        <item x="146"/>
        <item x="24"/>
        <item x="107"/>
        <item x="44"/>
        <item x="131"/>
        <item x="151"/>
        <item x="231"/>
        <item x="10"/>
        <item x="134"/>
        <item x="25"/>
        <item x="91"/>
        <item x="78"/>
        <item x="188"/>
        <item x="111"/>
        <item x="101"/>
        <item x="171"/>
        <item x="194"/>
        <item x="212"/>
        <item x="230"/>
        <item x="247"/>
        <item x="8"/>
        <item x="261"/>
        <item x="208"/>
        <item x="46"/>
        <item x="223"/>
        <item x="245"/>
        <item x="240"/>
        <item x="156"/>
        <item x="154"/>
        <item x="122"/>
        <item x="129"/>
        <item x="238"/>
        <item x="132"/>
        <item x="84"/>
        <item x="1"/>
        <item x="116"/>
        <item x="130"/>
        <item x="254"/>
        <item x="9"/>
        <item x="272"/>
        <item x="75"/>
        <item x="58"/>
        <item x="88"/>
        <item x="250"/>
        <item x="222"/>
        <item x="5"/>
        <item x="40"/>
        <item x="2"/>
        <item x="7"/>
        <item x="235"/>
        <item x="51"/>
        <item x="31"/>
        <item x="186"/>
        <item x="149"/>
        <item x="117"/>
        <item x="4"/>
        <item x="191"/>
        <item x="215"/>
        <item x="100"/>
        <item x="193"/>
        <item x="255"/>
        <item x="195"/>
        <item x="165"/>
        <item x="136"/>
        <item x="147"/>
        <item x="60"/>
        <item x="217"/>
        <item x="13"/>
        <item x="83"/>
        <item x="185"/>
        <item x="87"/>
        <item x="271"/>
        <item x="26"/>
        <item x="127"/>
        <item x="182"/>
        <item x="63"/>
        <item x="73"/>
        <item x="77"/>
        <item x="258"/>
        <item x="80"/>
        <item x="218"/>
        <item x="256"/>
        <item x="16"/>
        <item x="253"/>
        <item x="196"/>
        <item x="137"/>
        <item x="55"/>
        <item x="164"/>
        <item x="153"/>
        <item x="56"/>
        <item x="27"/>
        <item x="3"/>
        <item x="45"/>
        <item x="99"/>
        <item t="default"/>
      </items>
    </pivotField>
    <pivotField showAll="0">
      <items count="6">
        <item x="4"/>
        <item x="1"/>
        <item x="0"/>
        <item x="2"/>
        <item x="3"/>
        <item t="default"/>
      </items>
    </pivotField>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items count="7">
        <item x="2"/>
        <item x="3"/>
        <item x="5"/>
        <item x="4"/>
        <item x="1"/>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4">
    <i>
      <x/>
    </i>
    <i>
      <x v="2"/>
    </i>
    <i>
      <x v="1"/>
    </i>
    <i t="grand">
      <x/>
    </i>
  </rowItems>
  <colItems count="1">
    <i/>
  </colItems>
  <dataFields count="1">
    <dataField name="Count of Column1" fld="0" subtotal="count" baseField="13"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3" count="1" selected="0">
            <x v="0"/>
          </reference>
        </references>
      </pivotArea>
    </chartFormat>
    <chartFormat chart="7" format="10">
      <pivotArea type="data" outline="0" fieldPosition="0">
        <references count="2">
          <reference field="4294967294" count="1" selected="0">
            <x v="0"/>
          </reference>
          <reference field="13" count="1" selected="0">
            <x v="2"/>
          </reference>
        </references>
      </pivotArea>
    </chartFormat>
    <chartFormat chart="7" format="1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2547E0-A090-436A-ADC3-E23C7C48469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pivotFields count="21">
    <pivotField showAll="0"/>
    <pivotField showAll="0"/>
    <pivotField showAll="0"/>
    <pivotField showAll="0"/>
    <pivotField showAll="0"/>
    <pivotField axis="axisRow" showAll="0" sortType="ascending">
      <items count="10">
        <item x="6"/>
        <item x="3"/>
        <item x="1"/>
        <item x="0"/>
        <item x="8"/>
        <item x="4"/>
        <item x="7"/>
        <item x="2"/>
        <item x="5"/>
        <item t="default"/>
      </items>
      <autoSortScope>
        <pivotArea dataOnly="0" outline="0" fieldPosition="0">
          <references count="1">
            <reference field="4294967294" count="1" selected="0">
              <x v="0"/>
            </reference>
          </references>
        </pivotArea>
      </autoSortScope>
    </pivotField>
    <pivotField showAll="0"/>
    <pivotField showAll="0">
      <items count="7">
        <item x="5"/>
        <item x="2"/>
        <item x="0"/>
        <item x="3"/>
        <item x="4"/>
        <item x="1"/>
        <item t="default"/>
      </items>
    </pivotField>
    <pivotField showAll="0"/>
    <pivotField showAll="0"/>
    <pivotField showAll="0"/>
    <pivotField numFmtId="14" showAll="0">
      <items count="276">
        <item x="242"/>
        <item x="233"/>
        <item x="118"/>
        <item x="213"/>
        <item x="227"/>
        <item x="159"/>
        <item x="17"/>
        <item x="6"/>
        <item x="273"/>
        <item x="92"/>
        <item x="90"/>
        <item x="106"/>
        <item x="98"/>
        <item x="59"/>
        <item x="109"/>
        <item x="176"/>
        <item x="162"/>
        <item x="72"/>
        <item x="180"/>
        <item x="173"/>
        <item x="158"/>
        <item x="148"/>
        <item x="141"/>
        <item x="94"/>
        <item x="155"/>
        <item x="29"/>
        <item x="169"/>
        <item x="183"/>
        <item x="79"/>
        <item x="181"/>
        <item x="192"/>
        <item x="202"/>
        <item x="170"/>
        <item x="139"/>
        <item x="123"/>
        <item x="145"/>
        <item x="243"/>
        <item x="128"/>
        <item x="179"/>
        <item x="249"/>
        <item x="53"/>
        <item x="93"/>
        <item x="133"/>
        <item x="71"/>
        <item x="205"/>
        <item x="38"/>
        <item x="95"/>
        <item x="236"/>
        <item x="97"/>
        <item x="70"/>
        <item x="206"/>
        <item x="246"/>
        <item x="104"/>
        <item x="177"/>
        <item x="68"/>
        <item x="81"/>
        <item x="57"/>
        <item x="67"/>
        <item x="112"/>
        <item x="264"/>
        <item x="259"/>
        <item x="35"/>
        <item x="163"/>
        <item x="270"/>
        <item x="42"/>
        <item x="126"/>
        <item x="157"/>
        <item x="113"/>
        <item x="167"/>
        <item x="110"/>
        <item x="160"/>
        <item x="232"/>
        <item x="257"/>
        <item x="239"/>
        <item x="260"/>
        <item x="30"/>
        <item x="220"/>
        <item x="172"/>
        <item x="190"/>
        <item x="234"/>
        <item x="108"/>
        <item x="168"/>
        <item x="152"/>
        <item x="36"/>
        <item x="262"/>
        <item x="189"/>
        <item x="265"/>
        <item x="210"/>
        <item x="15"/>
        <item x="237"/>
        <item x="161"/>
        <item x="69"/>
        <item x="266"/>
        <item x="85"/>
        <item x="65"/>
        <item x="105"/>
        <item x="102"/>
        <item x="203"/>
        <item x="121"/>
        <item x="52"/>
        <item x="48"/>
        <item x="11"/>
        <item x="144"/>
        <item x="197"/>
        <item x="19"/>
        <item x="251"/>
        <item x="269"/>
        <item x="219"/>
        <item x="66"/>
        <item x="166"/>
        <item x="23"/>
        <item x="12"/>
        <item x="0"/>
        <item x="229"/>
        <item x="199"/>
        <item x="135"/>
        <item x="198"/>
        <item x="209"/>
        <item x="49"/>
        <item x="174"/>
        <item x="201"/>
        <item x="39"/>
        <item x="221"/>
        <item x="34"/>
        <item x="119"/>
        <item x="62"/>
        <item x="142"/>
        <item x="204"/>
        <item x="241"/>
        <item x="175"/>
        <item x="211"/>
        <item x="43"/>
        <item x="214"/>
        <item x="76"/>
        <item x="178"/>
        <item x="124"/>
        <item x="207"/>
        <item x="50"/>
        <item x="225"/>
        <item x="226"/>
        <item x="82"/>
        <item x="96"/>
        <item x="21"/>
        <item x="28"/>
        <item x="37"/>
        <item x="200"/>
        <item x="86"/>
        <item x="187"/>
        <item x="103"/>
        <item x="125"/>
        <item x="115"/>
        <item x="267"/>
        <item x="143"/>
        <item x="32"/>
        <item x="61"/>
        <item x="120"/>
        <item x="20"/>
        <item x="74"/>
        <item x="18"/>
        <item x="89"/>
        <item x="248"/>
        <item x="41"/>
        <item x="244"/>
        <item x="33"/>
        <item x="252"/>
        <item x="274"/>
        <item x="140"/>
        <item x="114"/>
        <item x="14"/>
        <item x="22"/>
        <item x="216"/>
        <item x="47"/>
        <item x="224"/>
        <item x="64"/>
        <item x="228"/>
        <item x="184"/>
        <item x="138"/>
        <item x="150"/>
        <item x="54"/>
        <item x="268"/>
        <item x="263"/>
        <item x="146"/>
        <item x="24"/>
        <item x="107"/>
        <item x="44"/>
        <item x="131"/>
        <item x="151"/>
        <item x="231"/>
        <item x="10"/>
        <item x="134"/>
        <item x="25"/>
        <item x="91"/>
        <item x="78"/>
        <item x="188"/>
        <item x="111"/>
        <item x="101"/>
        <item x="171"/>
        <item x="194"/>
        <item x="212"/>
        <item x="230"/>
        <item x="247"/>
        <item x="8"/>
        <item x="261"/>
        <item x="208"/>
        <item x="46"/>
        <item x="223"/>
        <item x="245"/>
        <item x="240"/>
        <item x="156"/>
        <item x="154"/>
        <item x="122"/>
        <item x="129"/>
        <item x="238"/>
        <item x="132"/>
        <item x="84"/>
        <item x="1"/>
        <item x="116"/>
        <item x="130"/>
        <item x="254"/>
        <item x="9"/>
        <item x="272"/>
        <item x="75"/>
        <item x="58"/>
        <item x="88"/>
        <item x="250"/>
        <item x="222"/>
        <item x="5"/>
        <item x="40"/>
        <item x="2"/>
        <item x="7"/>
        <item x="235"/>
        <item x="51"/>
        <item x="31"/>
        <item x="186"/>
        <item x="149"/>
        <item x="117"/>
        <item x="4"/>
        <item x="191"/>
        <item x="215"/>
        <item x="100"/>
        <item x="193"/>
        <item x="255"/>
        <item x="195"/>
        <item x="165"/>
        <item x="136"/>
        <item x="147"/>
        <item x="60"/>
        <item x="217"/>
        <item x="13"/>
        <item x="83"/>
        <item x="185"/>
        <item x="87"/>
        <item x="271"/>
        <item x="26"/>
        <item x="127"/>
        <item x="182"/>
        <item x="63"/>
        <item x="73"/>
        <item x="77"/>
        <item x="258"/>
        <item x="80"/>
        <item x="218"/>
        <item x="256"/>
        <item x="16"/>
        <item x="253"/>
        <item x="196"/>
        <item x="137"/>
        <item x="55"/>
        <item x="164"/>
        <item x="153"/>
        <item x="56"/>
        <item x="27"/>
        <item x="3"/>
        <item x="45"/>
        <item x="99"/>
        <item t="default"/>
      </items>
    </pivotField>
    <pivotField showAll="0">
      <items count="6">
        <item x="4"/>
        <item x="1"/>
        <item x="0"/>
        <item x="2"/>
        <item x="3"/>
        <item t="default"/>
      </items>
    </pivotField>
    <pivotField showAll="0"/>
    <pivotField showAll="0">
      <items count="7">
        <item x="2"/>
        <item x="3"/>
        <item x="5"/>
        <item x="4"/>
        <item x="1"/>
        <item x="0"/>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0">
    <i>
      <x v="5"/>
    </i>
    <i>
      <x v="7"/>
    </i>
    <i>
      <x v="2"/>
    </i>
    <i>
      <x v="6"/>
    </i>
    <i>
      <x v="8"/>
    </i>
    <i>
      <x/>
    </i>
    <i>
      <x v="4"/>
    </i>
    <i>
      <x v="1"/>
    </i>
    <i>
      <x v="3"/>
    </i>
    <i t="grand">
      <x/>
    </i>
  </rowItems>
  <colItems count="1">
    <i/>
  </colItems>
  <dataFields count="1">
    <dataField name="Sum of Final Price" fld="18" baseField="0" baseItem="0" numFmtId="164"/>
  </dataFields>
  <formats count="2">
    <format dxfId="10">
      <pivotArea outline="0" collapsedLevelsAreSubtotals="1" fieldPosition="0"/>
    </format>
    <format dxfId="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3"/>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3"/>
          </reference>
        </references>
      </pivotArea>
    </chartFormat>
    <chartFormat chart="0" format="2">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09202A-2DC9-4369-8FD7-788374CC65A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21">
    <pivotField showAll="0"/>
    <pivotField showAll="0"/>
    <pivotField showAll="0"/>
    <pivotField showAll="0"/>
    <pivotField showAll="0"/>
    <pivotField showAll="0">
      <items count="10">
        <item x="6"/>
        <item x="3"/>
        <item x="1"/>
        <item x="0"/>
        <item x="8"/>
        <item x="4"/>
        <item x="7"/>
        <item x="2"/>
        <item x="5"/>
        <item t="default"/>
      </items>
    </pivotField>
    <pivotField showAll="0"/>
    <pivotField showAll="0">
      <items count="7">
        <item x="5"/>
        <item x="2"/>
        <item x="0"/>
        <item x="3"/>
        <item x="4"/>
        <item x="1"/>
        <item t="default"/>
      </items>
    </pivotField>
    <pivotField showAll="0"/>
    <pivotField showAll="0"/>
    <pivotField showAll="0"/>
    <pivotField numFmtId="14" showAll="0">
      <items count="276">
        <item x="242"/>
        <item x="233"/>
        <item x="118"/>
        <item x="213"/>
        <item x="227"/>
        <item x="159"/>
        <item x="17"/>
        <item x="6"/>
        <item x="273"/>
        <item x="92"/>
        <item x="90"/>
        <item x="106"/>
        <item x="98"/>
        <item x="59"/>
        <item x="109"/>
        <item x="176"/>
        <item x="162"/>
        <item x="72"/>
        <item x="180"/>
        <item x="173"/>
        <item x="158"/>
        <item x="148"/>
        <item x="141"/>
        <item x="94"/>
        <item x="155"/>
        <item x="29"/>
        <item x="169"/>
        <item x="183"/>
        <item x="79"/>
        <item x="181"/>
        <item x="192"/>
        <item x="202"/>
        <item x="170"/>
        <item x="139"/>
        <item x="123"/>
        <item x="145"/>
        <item x="243"/>
        <item x="128"/>
        <item x="179"/>
        <item x="249"/>
        <item x="53"/>
        <item x="93"/>
        <item x="133"/>
        <item x="71"/>
        <item x="205"/>
        <item x="38"/>
        <item x="95"/>
        <item x="236"/>
        <item x="97"/>
        <item x="70"/>
        <item x="206"/>
        <item x="246"/>
        <item x="104"/>
        <item x="177"/>
        <item x="68"/>
        <item x="81"/>
        <item x="57"/>
        <item x="67"/>
        <item x="112"/>
        <item x="264"/>
        <item x="259"/>
        <item x="35"/>
        <item x="163"/>
        <item x="270"/>
        <item x="42"/>
        <item x="126"/>
        <item x="157"/>
        <item x="113"/>
        <item x="167"/>
        <item x="110"/>
        <item x="160"/>
        <item x="232"/>
        <item x="257"/>
        <item x="239"/>
        <item x="260"/>
        <item x="30"/>
        <item x="220"/>
        <item x="172"/>
        <item x="190"/>
        <item x="234"/>
        <item x="108"/>
        <item x="168"/>
        <item x="152"/>
        <item x="36"/>
        <item x="262"/>
        <item x="189"/>
        <item x="265"/>
        <item x="210"/>
        <item x="15"/>
        <item x="237"/>
        <item x="161"/>
        <item x="69"/>
        <item x="266"/>
        <item x="85"/>
        <item x="65"/>
        <item x="105"/>
        <item x="102"/>
        <item x="203"/>
        <item x="121"/>
        <item x="52"/>
        <item x="48"/>
        <item x="11"/>
        <item x="144"/>
        <item x="197"/>
        <item x="19"/>
        <item x="251"/>
        <item x="269"/>
        <item x="219"/>
        <item x="66"/>
        <item x="166"/>
        <item x="23"/>
        <item x="12"/>
        <item x="0"/>
        <item x="229"/>
        <item x="199"/>
        <item x="135"/>
        <item x="198"/>
        <item x="209"/>
        <item x="49"/>
        <item x="174"/>
        <item x="201"/>
        <item x="39"/>
        <item x="221"/>
        <item x="34"/>
        <item x="119"/>
        <item x="62"/>
        <item x="142"/>
        <item x="204"/>
        <item x="241"/>
        <item x="175"/>
        <item x="211"/>
        <item x="43"/>
        <item x="214"/>
        <item x="76"/>
        <item x="178"/>
        <item x="124"/>
        <item x="207"/>
        <item x="50"/>
        <item x="225"/>
        <item x="226"/>
        <item x="82"/>
        <item x="96"/>
        <item x="21"/>
        <item x="28"/>
        <item x="37"/>
        <item x="200"/>
        <item x="86"/>
        <item x="187"/>
        <item x="103"/>
        <item x="125"/>
        <item x="115"/>
        <item x="267"/>
        <item x="143"/>
        <item x="32"/>
        <item x="61"/>
        <item x="120"/>
        <item x="20"/>
        <item x="74"/>
        <item x="18"/>
        <item x="89"/>
        <item x="248"/>
        <item x="41"/>
        <item x="244"/>
        <item x="33"/>
        <item x="252"/>
        <item x="274"/>
        <item x="140"/>
        <item x="114"/>
        <item x="14"/>
        <item x="22"/>
        <item x="216"/>
        <item x="47"/>
        <item x="224"/>
        <item x="64"/>
        <item x="228"/>
        <item x="184"/>
        <item x="138"/>
        <item x="150"/>
        <item x="54"/>
        <item x="268"/>
        <item x="263"/>
        <item x="146"/>
        <item x="24"/>
        <item x="107"/>
        <item x="44"/>
        <item x="131"/>
        <item x="151"/>
        <item x="231"/>
        <item x="10"/>
        <item x="134"/>
        <item x="25"/>
        <item x="91"/>
        <item x="78"/>
        <item x="188"/>
        <item x="111"/>
        <item x="101"/>
        <item x="171"/>
        <item x="194"/>
        <item x="212"/>
        <item x="230"/>
        <item x="247"/>
        <item x="8"/>
        <item x="261"/>
        <item x="208"/>
        <item x="46"/>
        <item x="223"/>
        <item x="245"/>
        <item x="240"/>
        <item x="156"/>
        <item x="154"/>
        <item x="122"/>
        <item x="129"/>
        <item x="238"/>
        <item x="132"/>
        <item x="84"/>
        <item x="1"/>
        <item x="116"/>
        <item x="130"/>
        <item x="254"/>
        <item x="9"/>
        <item x="272"/>
        <item x="75"/>
        <item x="58"/>
        <item x="88"/>
        <item x="250"/>
        <item x="222"/>
        <item x="5"/>
        <item x="40"/>
        <item x="2"/>
        <item x="7"/>
        <item x="235"/>
        <item x="51"/>
        <item x="31"/>
        <item x="186"/>
        <item x="149"/>
        <item x="117"/>
        <item x="4"/>
        <item x="191"/>
        <item x="215"/>
        <item x="100"/>
        <item x="193"/>
        <item x="255"/>
        <item x="195"/>
        <item x="165"/>
        <item x="136"/>
        <item x="147"/>
        <item x="60"/>
        <item x="217"/>
        <item x="13"/>
        <item x="83"/>
        <item x="185"/>
        <item x="87"/>
        <item x="271"/>
        <item x="26"/>
        <item x="127"/>
        <item x="182"/>
        <item x="63"/>
        <item x="73"/>
        <item x="77"/>
        <item x="258"/>
        <item x="80"/>
        <item x="218"/>
        <item x="256"/>
        <item x="16"/>
        <item x="253"/>
        <item x="196"/>
        <item x="137"/>
        <item x="55"/>
        <item x="164"/>
        <item x="153"/>
        <item x="56"/>
        <item x="27"/>
        <item x="3"/>
        <item x="45"/>
        <item x="99"/>
        <item t="default"/>
      </items>
    </pivotField>
    <pivotField showAll="0">
      <items count="6">
        <item x="4"/>
        <item x="1"/>
        <item x="0"/>
        <item x="2"/>
        <item x="3"/>
        <item t="default"/>
      </items>
    </pivotField>
    <pivotField showAll="0"/>
    <pivotField axis="axisRow" showAll="0">
      <items count="7">
        <item x="2"/>
        <item x="3"/>
        <item x="5"/>
        <item x="4"/>
        <item x="1"/>
        <item x="0"/>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7">
    <i>
      <x/>
    </i>
    <i>
      <x v="1"/>
    </i>
    <i>
      <x v="2"/>
    </i>
    <i>
      <x v="3"/>
    </i>
    <i>
      <x v="4"/>
    </i>
    <i>
      <x v="5"/>
    </i>
    <i t="grand">
      <x/>
    </i>
  </rowItems>
  <colItems count="1">
    <i/>
  </colItems>
  <dataFields count="1">
    <dataField name="Sum of Final Price" fld="18" baseField="0" baseItem="0" numFmtId="164"/>
  </dataFields>
  <formats count="2">
    <format dxfId="8">
      <pivotArea outline="0" collapsedLevelsAreSubtotals="1" fieldPosition="0"/>
    </format>
    <format dxfId="7">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5"/>
          </reference>
        </references>
      </pivotArea>
    </chartFormat>
    <chartFormat chart="0" format="4">
      <pivotArea type="data" outline="0" fieldPosition="0">
        <references count="2">
          <reference field="4294967294" count="1" selected="0">
            <x v="0"/>
          </reference>
          <reference field="14" count="1" selected="0">
            <x v="4"/>
          </reference>
        </references>
      </pivotArea>
    </chartFormat>
    <chartFormat chart="0" format="5">
      <pivotArea type="data" outline="0" fieldPosition="0">
        <references count="2">
          <reference field="4294967294" count="1" selected="0">
            <x v="0"/>
          </reference>
          <reference field="14" count="1" selected="0">
            <x v="3"/>
          </reference>
        </references>
      </pivotArea>
    </chartFormat>
    <chartFormat chart="0" format="6">
      <pivotArea type="data" outline="0" fieldPosition="0">
        <references count="2">
          <reference field="4294967294" count="1" selected="0">
            <x v="0"/>
          </reference>
          <reference field="14" count="1" selected="0">
            <x v="2"/>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4" count="1" selected="0">
            <x v="0"/>
          </reference>
        </references>
      </pivotArea>
    </chartFormat>
    <chartFormat chart="3" format="16">
      <pivotArea type="data" outline="0" fieldPosition="0">
        <references count="2">
          <reference field="4294967294" count="1" selected="0">
            <x v="0"/>
          </reference>
          <reference field="14" count="1" selected="0">
            <x v="1"/>
          </reference>
        </references>
      </pivotArea>
    </chartFormat>
    <chartFormat chart="3" format="17">
      <pivotArea type="data" outline="0" fieldPosition="0">
        <references count="2">
          <reference field="4294967294" count="1" selected="0">
            <x v="0"/>
          </reference>
          <reference field="14" count="1" selected="0">
            <x v="2"/>
          </reference>
        </references>
      </pivotArea>
    </chartFormat>
    <chartFormat chart="3" format="18">
      <pivotArea type="data" outline="0" fieldPosition="0">
        <references count="2">
          <reference field="4294967294" count="1" selected="0">
            <x v="0"/>
          </reference>
          <reference field="14" count="1" selected="0">
            <x v="3"/>
          </reference>
        </references>
      </pivotArea>
    </chartFormat>
    <chartFormat chart="3" format="19">
      <pivotArea type="data" outline="0" fieldPosition="0">
        <references count="2">
          <reference field="4294967294" count="1" selected="0">
            <x v="0"/>
          </reference>
          <reference field="14" count="1" selected="0">
            <x v="4"/>
          </reference>
        </references>
      </pivotArea>
    </chartFormat>
    <chartFormat chart="3" format="20">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E172DA-AF07-4118-9155-955410545F1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9" firstHeaderRow="1" firstDataRow="1" firstDataCol="1"/>
  <pivotFields count="21">
    <pivotField showAll="0"/>
    <pivotField showAll="0"/>
    <pivotField showAll="0"/>
    <pivotField showAll="0"/>
    <pivotField showAll="0"/>
    <pivotField showAll="0">
      <items count="10">
        <item x="6"/>
        <item x="3"/>
        <item x="1"/>
        <item x="0"/>
        <item x="8"/>
        <item x="4"/>
        <item x="7"/>
        <item x="2"/>
        <item x="5"/>
        <item t="default"/>
      </items>
    </pivotField>
    <pivotField axis="axisRow" showAll="0">
      <items count="16">
        <item x="9"/>
        <item x="13"/>
        <item x="14"/>
        <item x="2"/>
        <item x="5"/>
        <item x="1"/>
        <item x="3"/>
        <item x="4"/>
        <item x="10"/>
        <item x="12"/>
        <item x="8"/>
        <item x="7"/>
        <item x="6"/>
        <item x="11"/>
        <item x="0"/>
        <item t="default"/>
      </items>
    </pivotField>
    <pivotField showAll="0">
      <items count="7">
        <item x="5"/>
        <item x="2"/>
        <item x="0"/>
        <item x="3"/>
        <item x="4"/>
        <item x="1"/>
        <item t="default"/>
      </items>
    </pivotField>
    <pivotField showAll="0"/>
    <pivotField showAll="0"/>
    <pivotField showAll="0"/>
    <pivotField numFmtId="14" showAll="0">
      <items count="276">
        <item x="242"/>
        <item x="233"/>
        <item x="118"/>
        <item x="213"/>
        <item x="227"/>
        <item x="159"/>
        <item x="17"/>
        <item x="6"/>
        <item x="273"/>
        <item x="92"/>
        <item x="90"/>
        <item x="106"/>
        <item x="98"/>
        <item x="59"/>
        <item x="109"/>
        <item x="176"/>
        <item x="162"/>
        <item x="72"/>
        <item x="180"/>
        <item x="173"/>
        <item x="158"/>
        <item x="148"/>
        <item x="141"/>
        <item x="94"/>
        <item x="155"/>
        <item x="29"/>
        <item x="169"/>
        <item x="183"/>
        <item x="79"/>
        <item x="181"/>
        <item x="192"/>
        <item x="202"/>
        <item x="170"/>
        <item x="139"/>
        <item x="123"/>
        <item x="145"/>
        <item x="243"/>
        <item x="128"/>
        <item x="179"/>
        <item x="249"/>
        <item x="53"/>
        <item x="93"/>
        <item x="133"/>
        <item x="71"/>
        <item x="205"/>
        <item x="38"/>
        <item x="95"/>
        <item x="236"/>
        <item x="97"/>
        <item x="70"/>
        <item x="206"/>
        <item x="246"/>
        <item x="104"/>
        <item x="177"/>
        <item x="68"/>
        <item x="81"/>
        <item x="57"/>
        <item x="67"/>
        <item x="112"/>
        <item x="264"/>
        <item x="259"/>
        <item x="35"/>
        <item x="163"/>
        <item x="270"/>
        <item x="42"/>
        <item x="126"/>
        <item x="157"/>
        <item x="113"/>
        <item x="167"/>
        <item x="110"/>
        <item x="160"/>
        <item x="232"/>
        <item x="257"/>
        <item x="239"/>
        <item x="260"/>
        <item x="30"/>
        <item x="220"/>
        <item x="172"/>
        <item x="190"/>
        <item x="234"/>
        <item x="108"/>
        <item x="168"/>
        <item x="152"/>
        <item x="36"/>
        <item x="262"/>
        <item x="189"/>
        <item x="265"/>
        <item x="210"/>
        <item x="15"/>
        <item x="237"/>
        <item x="161"/>
        <item x="69"/>
        <item x="266"/>
        <item x="85"/>
        <item x="65"/>
        <item x="105"/>
        <item x="102"/>
        <item x="203"/>
        <item x="121"/>
        <item x="52"/>
        <item x="48"/>
        <item x="11"/>
        <item x="144"/>
        <item x="197"/>
        <item x="19"/>
        <item x="251"/>
        <item x="269"/>
        <item x="219"/>
        <item x="66"/>
        <item x="166"/>
        <item x="23"/>
        <item x="12"/>
        <item x="0"/>
        <item x="229"/>
        <item x="199"/>
        <item x="135"/>
        <item x="198"/>
        <item x="209"/>
        <item x="49"/>
        <item x="174"/>
        <item x="201"/>
        <item x="39"/>
        <item x="221"/>
        <item x="34"/>
        <item x="119"/>
        <item x="62"/>
        <item x="142"/>
        <item x="204"/>
        <item x="241"/>
        <item x="175"/>
        <item x="211"/>
        <item x="43"/>
        <item x="214"/>
        <item x="76"/>
        <item x="178"/>
        <item x="124"/>
        <item x="207"/>
        <item x="50"/>
        <item x="225"/>
        <item x="226"/>
        <item x="82"/>
        <item x="96"/>
        <item x="21"/>
        <item x="28"/>
        <item x="37"/>
        <item x="200"/>
        <item x="86"/>
        <item x="187"/>
        <item x="103"/>
        <item x="125"/>
        <item x="115"/>
        <item x="267"/>
        <item x="143"/>
        <item x="32"/>
        <item x="61"/>
        <item x="120"/>
        <item x="20"/>
        <item x="74"/>
        <item x="18"/>
        <item x="89"/>
        <item x="248"/>
        <item x="41"/>
        <item x="244"/>
        <item x="33"/>
        <item x="252"/>
        <item x="274"/>
        <item x="140"/>
        <item x="114"/>
        <item x="14"/>
        <item x="22"/>
        <item x="216"/>
        <item x="47"/>
        <item x="224"/>
        <item x="64"/>
        <item x="228"/>
        <item x="184"/>
        <item x="138"/>
        <item x="150"/>
        <item x="54"/>
        <item x="268"/>
        <item x="263"/>
        <item x="146"/>
        <item x="24"/>
        <item x="107"/>
        <item x="44"/>
        <item x="131"/>
        <item x="151"/>
        <item x="231"/>
        <item x="10"/>
        <item x="134"/>
        <item x="25"/>
        <item x="91"/>
        <item x="78"/>
        <item x="188"/>
        <item x="111"/>
        <item x="101"/>
        <item x="171"/>
        <item x="194"/>
        <item x="212"/>
        <item x="230"/>
        <item x="247"/>
        <item x="8"/>
        <item x="261"/>
        <item x="208"/>
        <item x="46"/>
        <item x="223"/>
        <item x="245"/>
        <item x="240"/>
        <item x="156"/>
        <item x="154"/>
        <item x="122"/>
        <item x="129"/>
        <item x="238"/>
        <item x="132"/>
        <item x="84"/>
        <item x="1"/>
        <item x="116"/>
        <item x="130"/>
        <item x="254"/>
        <item x="9"/>
        <item x="272"/>
        <item x="75"/>
        <item x="58"/>
        <item x="88"/>
        <item x="250"/>
        <item x="222"/>
        <item x="5"/>
        <item x="40"/>
        <item x="2"/>
        <item x="7"/>
        <item x="235"/>
        <item x="51"/>
        <item x="31"/>
        <item x="186"/>
        <item x="149"/>
        <item x="117"/>
        <item x="4"/>
        <item x="191"/>
        <item x="215"/>
        <item x="100"/>
        <item x="193"/>
        <item x="255"/>
        <item x="195"/>
        <item x="165"/>
        <item x="136"/>
        <item x="147"/>
        <item x="60"/>
        <item x="217"/>
        <item x="13"/>
        <item x="83"/>
        <item x="185"/>
        <item x="87"/>
        <item x="271"/>
        <item x="26"/>
        <item x="127"/>
        <item x="182"/>
        <item x="63"/>
        <item x="73"/>
        <item x="77"/>
        <item x="258"/>
        <item x="80"/>
        <item x="218"/>
        <item x="256"/>
        <item x="16"/>
        <item x="253"/>
        <item x="196"/>
        <item x="137"/>
        <item x="55"/>
        <item x="164"/>
        <item x="153"/>
        <item x="56"/>
        <item x="27"/>
        <item x="3"/>
        <item x="45"/>
        <item x="99"/>
        <item t="default"/>
      </items>
    </pivotField>
    <pivotField showAll="0">
      <items count="6">
        <item x="4"/>
        <item x="1"/>
        <item x="0"/>
        <item x="2"/>
        <item x="3"/>
        <item t="default"/>
      </items>
    </pivotField>
    <pivotField showAll="0"/>
    <pivotField showAll="0">
      <items count="7">
        <item x="2"/>
        <item x="3"/>
        <item x="5"/>
        <item x="4"/>
        <item x="1"/>
        <item x="0"/>
        <item t="default"/>
      </items>
    </pivotField>
    <pivotField dataField="1" showAll="0">
      <items count="7">
        <item x="5"/>
        <item x="2"/>
        <item x="3"/>
        <item x="4"/>
        <item x="0"/>
        <item x="1"/>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6">
    <i>
      <x/>
    </i>
    <i>
      <x v="1"/>
    </i>
    <i>
      <x v="2"/>
    </i>
    <i>
      <x v="3"/>
    </i>
    <i>
      <x v="4"/>
    </i>
    <i>
      <x v="5"/>
    </i>
    <i>
      <x v="6"/>
    </i>
    <i>
      <x v="7"/>
    </i>
    <i>
      <x v="8"/>
    </i>
    <i>
      <x v="9"/>
    </i>
    <i>
      <x v="10"/>
    </i>
    <i>
      <x v="11"/>
    </i>
    <i>
      <x v="12"/>
    </i>
    <i>
      <x v="13"/>
    </i>
    <i>
      <x v="14"/>
    </i>
    <i t="grand">
      <x/>
    </i>
  </rowItems>
  <colItems count="1">
    <i/>
  </colItems>
  <dataFields count="1">
    <dataField name="Average of Rating" fld="15" subtotal="average" baseField="6"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6"/>
          </reference>
        </references>
      </pivotArea>
    </chartFormat>
    <chartFormat chart="0" format="2">
      <pivotArea type="data" outline="0" fieldPosition="0">
        <references count="2">
          <reference field="4294967294" count="1" selected="0">
            <x v="0"/>
          </reference>
          <reference field="6" count="1" selected="0">
            <x v="9"/>
          </reference>
        </references>
      </pivotArea>
    </chartFormat>
    <chartFormat chart="0" format="3">
      <pivotArea type="data" outline="0" fieldPosition="0">
        <references count="2">
          <reference field="4294967294" count="1" selected="0">
            <x v="0"/>
          </reference>
          <reference field="6" count="1" selected="0">
            <x v="14"/>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88602C-9E9C-4971-9857-7F29EFC4C9F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A3:B19" firstHeaderRow="1" firstDataRow="1" firstDataCol="1" rowPageCount="1" colPageCount="1"/>
  <pivotFields count="21">
    <pivotField showAll="0"/>
    <pivotField showAll="0"/>
    <pivotField showAll="0"/>
    <pivotField showAll="0"/>
    <pivotField showAll="0"/>
    <pivotField showAll="0">
      <items count="10">
        <item x="6"/>
        <item x="3"/>
        <item x="1"/>
        <item x="0"/>
        <item x="8"/>
        <item x="4"/>
        <item x="7"/>
        <item x="2"/>
        <item x="5"/>
        <item t="default"/>
      </items>
    </pivotField>
    <pivotField axis="axisRow" showAll="0">
      <items count="16">
        <item x="9"/>
        <item x="13"/>
        <item x="14"/>
        <item x="2"/>
        <item x="5"/>
        <item x="1"/>
        <item x="3"/>
        <item x="4"/>
        <item x="10"/>
        <item x="12"/>
        <item x="8"/>
        <item x="7"/>
        <item x="6"/>
        <item x="11"/>
        <item x="0"/>
        <item t="default"/>
      </items>
    </pivotField>
    <pivotField showAll="0" sortType="descending">
      <items count="7">
        <item x="5"/>
        <item x="2"/>
        <item x="0"/>
        <item x="3"/>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276">
        <item x="242"/>
        <item x="233"/>
        <item x="118"/>
        <item x="213"/>
        <item x="227"/>
        <item x="159"/>
        <item x="17"/>
        <item x="6"/>
        <item x="273"/>
        <item x="92"/>
        <item x="90"/>
        <item x="106"/>
        <item x="98"/>
        <item x="59"/>
        <item x="109"/>
        <item x="176"/>
        <item x="162"/>
        <item x="72"/>
        <item x="180"/>
        <item x="173"/>
        <item x="158"/>
        <item x="148"/>
        <item x="141"/>
        <item x="94"/>
        <item x="155"/>
        <item x="29"/>
        <item x="169"/>
        <item x="183"/>
        <item x="79"/>
        <item x="181"/>
        <item x="192"/>
        <item x="202"/>
        <item x="170"/>
        <item x="139"/>
        <item x="123"/>
        <item x="145"/>
        <item x="243"/>
        <item x="128"/>
        <item x="179"/>
        <item x="249"/>
        <item x="53"/>
        <item x="93"/>
        <item x="133"/>
        <item x="71"/>
        <item x="205"/>
        <item x="38"/>
        <item x="95"/>
        <item x="236"/>
        <item x="97"/>
        <item x="70"/>
        <item x="206"/>
        <item x="246"/>
        <item x="104"/>
        <item x="177"/>
        <item x="68"/>
        <item x="81"/>
        <item x="57"/>
        <item x="67"/>
        <item x="112"/>
        <item x="264"/>
        <item x="259"/>
        <item x="35"/>
        <item x="163"/>
        <item x="270"/>
        <item x="42"/>
        <item x="126"/>
        <item x="157"/>
        <item x="113"/>
        <item x="167"/>
        <item x="110"/>
        <item x="160"/>
        <item x="232"/>
        <item x="257"/>
        <item x="239"/>
        <item x="260"/>
        <item x="30"/>
        <item x="220"/>
        <item x="172"/>
        <item x="190"/>
        <item x="234"/>
        <item x="108"/>
        <item x="168"/>
        <item x="152"/>
        <item x="36"/>
        <item x="262"/>
        <item x="189"/>
        <item x="265"/>
        <item x="210"/>
        <item x="15"/>
        <item x="237"/>
        <item x="161"/>
        <item x="69"/>
        <item x="266"/>
        <item x="85"/>
        <item x="65"/>
        <item x="105"/>
        <item x="102"/>
        <item x="203"/>
        <item x="121"/>
        <item x="52"/>
        <item x="48"/>
        <item x="11"/>
        <item x="144"/>
        <item x="197"/>
        <item x="19"/>
        <item x="251"/>
        <item x="269"/>
        <item x="219"/>
        <item x="66"/>
        <item x="166"/>
        <item x="23"/>
        <item x="12"/>
        <item x="0"/>
        <item x="229"/>
        <item x="199"/>
        <item x="135"/>
        <item x="198"/>
        <item x="209"/>
        <item x="49"/>
        <item x="174"/>
        <item x="201"/>
        <item x="39"/>
        <item x="221"/>
        <item x="34"/>
        <item x="119"/>
        <item x="62"/>
        <item x="142"/>
        <item x="204"/>
        <item x="241"/>
        <item x="175"/>
        <item x="211"/>
        <item x="43"/>
        <item x="214"/>
        <item x="76"/>
        <item x="178"/>
        <item x="124"/>
        <item x="207"/>
        <item x="50"/>
        <item x="225"/>
        <item x="226"/>
        <item x="82"/>
        <item x="96"/>
        <item x="21"/>
        <item x="28"/>
        <item x="37"/>
        <item x="200"/>
        <item x="86"/>
        <item x="187"/>
        <item x="103"/>
        <item x="125"/>
        <item x="115"/>
        <item x="267"/>
        <item x="143"/>
        <item x="32"/>
        <item x="61"/>
        <item x="120"/>
        <item x="20"/>
        <item x="74"/>
        <item x="18"/>
        <item x="89"/>
        <item x="248"/>
        <item x="41"/>
        <item x="244"/>
        <item x="33"/>
        <item x="252"/>
        <item x="274"/>
        <item x="140"/>
        <item x="114"/>
        <item x="14"/>
        <item x="22"/>
        <item x="216"/>
        <item x="47"/>
        <item x="224"/>
        <item x="64"/>
        <item x="228"/>
        <item x="184"/>
        <item x="138"/>
        <item x="150"/>
        <item x="54"/>
        <item x="268"/>
        <item x="263"/>
        <item x="146"/>
        <item x="24"/>
        <item x="107"/>
        <item x="44"/>
        <item x="131"/>
        <item x="151"/>
        <item x="231"/>
        <item x="10"/>
        <item x="134"/>
        <item x="25"/>
        <item x="91"/>
        <item x="78"/>
        <item x="188"/>
        <item x="111"/>
        <item x="101"/>
        <item x="171"/>
        <item x="194"/>
        <item x="212"/>
        <item x="230"/>
        <item x="247"/>
        <item x="8"/>
        <item x="261"/>
        <item x="208"/>
        <item x="46"/>
        <item x="223"/>
        <item x="245"/>
        <item x="240"/>
        <item x="156"/>
        <item x="154"/>
        <item x="122"/>
        <item x="129"/>
        <item x="238"/>
        <item x="132"/>
        <item x="84"/>
        <item x="1"/>
        <item x="116"/>
        <item x="130"/>
        <item x="254"/>
        <item x="9"/>
        <item x="272"/>
        <item x="75"/>
        <item x="58"/>
        <item x="88"/>
        <item x="250"/>
        <item x="222"/>
        <item x="5"/>
        <item x="40"/>
        <item x="2"/>
        <item x="7"/>
        <item x="235"/>
        <item x="51"/>
        <item x="31"/>
        <item x="186"/>
        <item x="149"/>
        <item x="117"/>
        <item x="4"/>
        <item x="191"/>
        <item x="215"/>
        <item x="100"/>
        <item x="193"/>
        <item x="255"/>
        <item x="195"/>
        <item x="165"/>
        <item x="136"/>
        <item x="147"/>
        <item x="60"/>
        <item x="217"/>
        <item x="13"/>
        <item x="83"/>
        <item x="185"/>
        <item x="87"/>
        <item x="271"/>
        <item x="26"/>
        <item x="127"/>
        <item x="182"/>
        <item x="63"/>
        <item x="73"/>
        <item x="77"/>
        <item x="258"/>
        <item x="80"/>
        <item x="218"/>
        <item x="256"/>
        <item x="16"/>
        <item x="253"/>
        <item x="196"/>
        <item x="137"/>
        <item x="55"/>
        <item x="164"/>
        <item x="153"/>
        <item x="56"/>
        <item x="27"/>
        <item x="3"/>
        <item x="45"/>
        <item x="99"/>
        <item t="default"/>
      </items>
    </pivotField>
    <pivotField showAll="0">
      <items count="6">
        <item x="4"/>
        <item x="1"/>
        <item x="0"/>
        <item x="2"/>
        <item x="3"/>
        <item t="default"/>
      </items>
    </pivotField>
    <pivotField showAll="0"/>
    <pivotField showAll="0">
      <items count="7">
        <item x="2"/>
        <item x="3"/>
        <item x="5"/>
        <item x="4"/>
        <item x="1"/>
        <item x="0"/>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Page"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6">
    <i>
      <x/>
    </i>
    <i>
      <x v="1"/>
    </i>
    <i>
      <x v="2"/>
    </i>
    <i>
      <x v="3"/>
    </i>
    <i>
      <x v="4"/>
    </i>
    <i>
      <x v="5"/>
    </i>
    <i>
      <x v="6"/>
    </i>
    <i>
      <x v="7"/>
    </i>
    <i>
      <x v="8"/>
    </i>
    <i>
      <x v="9"/>
    </i>
    <i>
      <x v="10"/>
    </i>
    <i>
      <x v="11"/>
    </i>
    <i>
      <x v="12"/>
    </i>
    <i>
      <x v="13"/>
    </i>
    <i>
      <x v="14"/>
    </i>
    <i t="grand">
      <x/>
    </i>
  </rowItems>
  <colItems count="1">
    <i/>
  </colItems>
  <pageFields count="1">
    <pageField fld="20" hier="-1"/>
  </pageFields>
  <dataFields count="1">
    <dataField name="Sum of Final Price" fld="18" baseField="0" baseItem="0" numFmtId="164"/>
  </dataFields>
  <formats count="2">
    <format dxfId="6">
      <pivotArea outline="0" collapsedLevelsAreSubtotals="1" fieldPosition="0"/>
    </format>
    <format dxfId="5">
      <pivotArea outline="0" collapsedLevelsAreSubtotals="1" fieldPosition="0"/>
    </format>
  </formats>
  <chartFormats count="36">
    <chartFormat chart="23" format="0"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2"/>
          </reference>
        </references>
      </pivotArea>
    </chartFormat>
    <chartFormat chart="31" format="10"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0"/>
          </reference>
        </references>
      </pivotArea>
    </chartFormat>
    <chartFormat chart="35" format="10" series="1">
      <pivotArea type="data" outline="0" fieldPosition="0">
        <references count="1">
          <reference field="4294967294" count="1" selected="0">
            <x v="0"/>
          </reference>
        </references>
      </pivotArea>
    </chartFormat>
    <chartFormat chart="36" format="10" series="1">
      <pivotArea type="data" outline="0" fieldPosition="0">
        <references count="1">
          <reference field="4294967294" count="1" selected="0">
            <x v="0"/>
          </reference>
        </references>
      </pivotArea>
    </chartFormat>
    <chartFormat chart="36" format="11" series="1">
      <pivotArea type="data" outline="0" fieldPosition="0">
        <references count="2">
          <reference field="4294967294" count="1" selected="0">
            <x v="0"/>
          </reference>
          <reference field="6" count="1" selected="0">
            <x v="1"/>
          </reference>
        </references>
      </pivotArea>
    </chartFormat>
    <chartFormat chart="36" format="12" series="1">
      <pivotArea type="data" outline="0" fieldPosition="0">
        <references count="2">
          <reference field="4294967294" count="1" selected="0">
            <x v="0"/>
          </reference>
          <reference field="6" count="1" selected="0">
            <x v="2"/>
          </reference>
        </references>
      </pivotArea>
    </chartFormat>
    <chartFormat chart="36" format="13" series="1">
      <pivotArea type="data" outline="0" fieldPosition="0">
        <references count="2">
          <reference field="4294967294" count="1" selected="0">
            <x v="0"/>
          </reference>
          <reference field="6" count="1" selected="0">
            <x v="3"/>
          </reference>
        </references>
      </pivotArea>
    </chartFormat>
    <chartFormat chart="36" format="14" series="1">
      <pivotArea type="data" outline="0" fieldPosition="0">
        <references count="2">
          <reference field="4294967294" count="1" selected="0">
            <x v="0"/>
          </reference>
          <reference field="6" count="1" selected="0">
            <x v="4"/>
          </reference>
        </references>
      </pivotArea>
    </chartFormat>
    <chartFormat chart="36" format="15" series="1">
      <pivotArea type="data" outline="0" fieldPosition="0">
        <references count="2">
          <reference field="4294967294" count="1" selected="0">
            <x v="0"/>
          </reference>
          <reference field="6" count="1" selected="0">
            <x v="5"/>
          </reference>
        </references>
      </pivotArea>
    </chartFormat>
    <chartFormat chart="36" format="16" series="1">
      <pivotArea type="data" outline="0" fieldPosition="0">
        <references count="2">
          <reference field="4294967294" count="1" selected="0">
            <x v="0"/>
          </reference>
          <reference field="6" count="1" selected="0">
            <x v="6"/>
          </reference>
        </references>
      </pivotArea>
    </chartFormat>
    <chartFormat chart="36" format="17" series="1">
      <pivotArea type="data" outline="0" fieldPosition="0">
        <references count="2">
          <reference field="4294967294" count="1" selected="0">
            <x v="0"/>
          </reference>
          <reference field="6" count="1" selected="0">
            <x v="7"/>
          </reference>
        </references>
      </pivotArea>
    </chartFormat>
    <chartFormat chart="36" format="18" series="1">
      <pivotArea type="data" outline="0" fieldPosition="0">
        <references count="2">
          <reference field="4294967294" count="1" selected="0">
            <x v="0"/>
          </reference>
          <reference field="6" count="1" selected="0">
            <x v="8"/>
          </reference>
        </references>
      </pivotArea>
    </chartFormat>
    <chartFormat chart="36" format="19" series="1">
      <pivotArea type="data" outline="0" fieldPosition="0">
        <references count="2">
          <reference field="4294967294" count="1" selected="0">
            <x v="0"/>
          </reference>
          <reference field="6" count="1" selected="0">
            <x v="9"/>
          </reference>
        </references>
      </pivotArea>
    </chartFormat>
    <chartFormat chart="36" format="20" series="1">
      <pivotArea type="data" outline="0" fieldPosition="0">
        <references count="2">
          <reference field="4294967294" count="1" selected="0">
            <x v="0"/>
          </reference>
          <reference field="6" count="1" selected="0">
            <x v="10"/>
          </reference>
        </references>
      </pivotArea>
    </chartFormat>
    <chartFormat chart="36" format="21" series="1">
      <pivotArea type="data" outline="0" fieldPosition="0">
        <references count="2">
          <reference field="4294967294" count="1" selected="0">
            <x v="0"/>
          </reference>
          <reference field="6" count="1" selected="0">
            <x v="11"/>
          </reference>
        </references>
      </pivotArea>
    </chartFormat>
    <chartFormat chart="36" format="22" series="1">
      <pivotArea type="data" outline="0" fieldPosition="0">
        <references count="2">
          <reference field="4294967294" count="1" selected="0">
            <x v="0"/>
          </reference>
          <reference field="6" count="1" selected="0">
            <x v="12"/>
          </reference>
        </references>
      </pivotArea>
    </chartFormat>
    <chartFormat chart="36" format="23" series="1">
      <pivotArea type="data" outline="0" fieldPosition="0">
        <references count="2">
          <reference field="4294967294" count="1" selected="0">
            <x v="0"/>
          </reference>
          <reference field="6" count="1" selected="0">
            <x v="13"/>
          </reference>
        </references>
      </pivotArea>
    </chartFormat>
    <chartFormat chart="36" format="24" series="1">
      <pivotArea type="data" outline="0" fieldPosition="0">
        <references count="2">
          <reference field="4294967294" count="1" selected="0">
            <x v="0"/>
          </reference>
          <reference field="6" count="1" selected="0">
            <x v="14"/>
          </reference>
        </references>
      </pivotArea>
    </chartFormat>
    <chartFormat chart="23" format="9" series="1">
      <pivotArea type="data" outline="0" fieldPosition="0">
        <references count="2">
          <reference field="4294967294" count="1" selected="0">
            <x v="0"/>
          </reference>
          <reference field="6" count="1" selected="0">
            <x v="1"/>
          </reference>
        </references>
      </pivotArea>
    </chartFormat>
    <chartFormat chart="23" format="10" series="1">
      <pivotArea type="data" outline="0" fieldPosition="0">
        <references count="2">
          <reference field="4294967294" count="1" selected="0">
            <x v="0"/>
          </reference>
          <reference field="6" count="1" selected="0">
            <x v="2"/>
          </reference>
        </references>
      </pivotArea>
    </chartFormat>
    <chartFormat chart="23" format="11" series="1">
      <pivotArea type="data" outline="0" fieldPosition="0">
        <references count="2">
          <reference field="4294967294" count="1" selected="0">
            <x v="0"/>
          </reference>
          <reference field="6" count="1" selected="0">
            <x v="3"/>
          </reference>
        </references>
      </pivotArea>
    </chartFormat>
    <chartFormat chart="23" format="12" series="1">
      <pivotArea type="data" outline="0" fieldPosition="0">
        <references count="2">
          <reference field="4294967294" count="1" selected="0">
            <x v="0"/>
          </reference>
          <reference field="6" count="1" selected="0">
            <x v="4"/>
          </reference>
        </references>
      </pivotArea>
    </chartFormat>
    <chartFormat chart="23" format="13" series="1">
      <pivotArea type="data" outline="0" fieldPosition="0">
        <references count="2">
          <reference field="4294967294" count="1" selected="0">
            <x v="0"/>
          </reference>
          <reference field="6" count="1" selected="0">
            <x v="5"/>
          </reference>
        </references>
      </pivotArea>
    </chartFormat>
    <chartFormat chart="23" format="14" series="1">
      <pivotArea type="data" outline="0" fieldPosition="0">
        <references count="2">
          <reference field="4294967294" count="1" selected="0">
            <x v="0"/>
          </reference>
          <reference field="6" count="1" selected="0">
            <x v="6"/>
          </reference>
        </references>
      </pivotArea>
    </chartFormat>
    <chartFormat chart="23" format="15" series="1">
      <pivotArea type="data" outline="0" fieldPosition="0">
        <references count="2">
          <reference field="4294967294" count="1" selected="0">
            <x v="0"/>
          </reference>
          <reference field="6" count="1" selected="0">
            <x v="7"/>
          </reference>
        </references>
      </pivotArea>
    </chartFormat>
    <chartFormat chart="23" format="16" series="1">
      <pivotArea type="data" outline="0" fieldPosition="0">
        <references count="2">
          <reference field="4294967294" count="1" selected="0">
            <x v="0"/>
          </reference>
          <reference field="6" count="1" selected="0">
            <x v="8"/>
          </reference>
        </references>
      </pivotArea>
    </chartFormat>
    <chartFormat chart="23" format="17" series="1">
      <pivotArea type="data" outline="0" fieldPosition="0">
        <references count="2">
          <reference field="4294967294" count="1" selected="0">
            <x v="0"/>
          </reference>
          <reference field="6" count="1" selected="0">
            <x v="9"/>
          </reference>
        </references>
      </pivotArea>
    </chartFormat>
    <chartFormat chart="23" format="18" series="1">
      <pivotArea type="data" outline="0" fieldPosition="0">
        <references count="2">
          <reference field="4294967294" count="1" selected="0">
            <x v="0"/>
          </reference>
          <reference field="6" count="1" selected="0">
            <x v="10"/>
          </reference>
        </references>
      </pivotArea>
    </chartFormat>
    <chartFormat chart="23" format="19" series="1">
      <pivotArea type="data" outline="0" fieldPosition="0">
        <references count="2">
          <reference field="4294967294" count="1" selected="0">
            <x v="0"/>
          </reference>
          <reference field="6" count="1" selected="0">
            <x v="11"/>
          </reference>
        </references>
      </pivotArea>
    </chartFormat>
    <chartFormat chart="23" format="20" series="1">
      <pivotArea type="data" outline="0" fieldPosition="0">
        <references count="2">
          <reference field="4294967294" count="1" selected="0">
            <x v="0"/>
          </reference>
          <reference field="6" count="1" selected="0">
            <x v="12"/>
          </reference>
        </references>
      </pivotArea>
    </chartFormat>
    <chartFormat chart="23" format="21" series="1">
      <pivotArea type="data" outline="0" fieldPosition="0">
        <references count="2">
          <reference field="4294967294" count="1" selected="0">
            <x v="0"/>
          </reference>
          <reference field="6" count="1" selected="0">
            <x v="13"/>
          </reference>
        </references>
      </pivotArea>
    </chartFormat>
    <chartFormat chart="23" format="22" series="1">
      <pivotArea type="data" outline="0" fieldPosition="0">
        <references count="2">
          <reference field="4294967294" count="1" selected="0">
            <x v="0"/>
          </reference>
          <reference field="6" count="1" selected="0">
            <x v="14"/>
          </reference>
        </references>
      </pivotArea>
    </chartFormat>
    <chartFormat chart="23" format="23">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65E208-B2D9-418B-B0CA-45398A2DDFB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1">
    <pivotField showAll="0"/>
    <pivotField showAll="0"/>
    <pivotField showAll="0"/>
    <pivotField showAll="0"/>
    <pivotField axis="axisRow" showAll="0" measureFilter="1" sortType="descending">
      <items count="13">
        <item x="4"/>
        <item x="1"/>
        <item x="5"/>
        <item x="7"/>
        <item x="8"/>
        <item x="10"/>
        <item x="6"/>
        <item x="2"/>
        <item x="11"/>
        <item x="0"/>
        <item x="3"/>
        <item x="9"/>
        <item t="default"/>
      </items>
      <autoSortScope>
        <pivotArea dataOnly="0" outline="0" fieldPosition="0">
          <references count="1">
            <reference field="4294967294" count="1" selected="0">
              <x v="0"/>
            </reference>
          </references>
        </pivotArea>
      </autoSortScope>
    </pivotField>
    <pivotField showAll="0">
      <items count="10">
        <item x="6"/>
        <item x="3"/>
        <item x="1"/>
        <item x="0"/>
        <item x="8"/>
        <item x="4"/>
        <item x="7"/>
        <item x="2"/>
        <item x="5"/>
        <item t="default"/>
      </items>
    </pivotField>
    <pivotField showAll="0"/>
    <pivotField showAll="0">
      <items count="7">
        <item x="5"/>
        <item x="2"/>
        <item x="0"/>
        <item x="3"/>
        <item x="4"/>
        <item x="1"/>
        <item t="default"/>
      </items>
    </pivotField>
    <pivotField showAll="0"/>
    <pivotField showAll="0"/>
    <pivotField showAll="0"/>
    <pivotField numFmtId="14" showAll="0">
      <items count="276">
        <item x="242"/>
        <item x="233"/>
        <item x="118"/>
        <item x="213"/>
        <item x="227"/>
        <item x="159"/>
        <item x="17"/>
        <item x="6"/>
        <item x="273"/>
        <item x="92"/>
        <item x="90"/>
        <item x="106"/>
        <item x="98"/>
        <item x="59"/>
        <item x="109"/>
        <item x="176"/>
        <item x="162"/>
        <item x="72"/>
        <item x="180"/>
        <item x="173"/>
        <item x="158"/>
        <item x="148"/>
        <item x="141"/>
        <item x="94"/>
        <item x="155"/>
        <item x="29"/>
        <item x="169"/>
        <item x="183"/>
        <item x="79"/>
        <item x="181"/>
        <item x="192"/>
        <item x="202"/>
        <item x="170"/>
        <item x="139"/>
        <item x="123"/>
        <item x="145"/>
        <item x="243"/>
        <item x="128"/>
        <item x="179"/>
        <item x="249"/>
        <item x="53"/>
        <item x="93"/>
        <item x="133"/>
        <item x="71"/>
        <item x="205"/>
        <item x="38"/>
        <item x="95"/>
        <item x="236"/>
        <item x="97"/>
        <item x="70"/>
        <item x="206"/>
        <item x="246"/>
        <item x="104"/>
        <item x="177"/>
        <item x="68"/>
        <item x="81"/>
        <item x="57"/>
        <item x="67"/>
        <item x="112"/>
        <item x="264"/>
        <item x="259"/>
        <item x="35"/>
        <item x="163"/>
        <item x="270"/>
        <item x="42"/>
        <item x="126"/>
        <item x="157"/>
        <item x="113"/>
        <item x="167"/>
        <item x="110"/>
        <item x="160"/>
        <item x="232"/>
        <item x="257"/>
        <item x="239"/>
        <item x="260"/>
        <item x="30"/>
        <item x="220"/>
        <item x="172"/>
        <item x="190"/>
        <item x="234"/>
        <item x="108"/>
        <item x="168"/>
        <item x="152"/>
        <item x="36"/>
        <item x="262"/>
        <item x="189"/>
        <item x="265"/>
        <item x="210"/>
        <item x="15"/>
        <item x="237"/>
        <item x="161"/>
        <item x="69"/>
        <item x="266"/>
        <item x="85"/>
        <item x="65"/>
        <item x="105"/>
        <item x="102"/>
        <item x="203"/>
        <item x="121"/>
        <item x="52"/>
        <item x="48"/>
        <item x="11"/>
        <item x="144"/>
        <item x="197"/>
        <item x="19"/>
        <item x="251"/>
        <item x="269"/>
        <item x="219"/>
        <item x="66"/>
        <item x="166"/>
        <item x="23"/>
        <item x="12"/>
        <item x="0"/>
        <item x="229"/>
        <item x="199"/>
        <item x="135"/>
        <item x="198"/>
        <item x="209"/>
        <item x="49"/>
        <item x="174"/>
        <item x="201"/>
        <item x="39"/>
        <item x="221"/>
        <item x="34"/>
        <item x="119"/>
        <item x="62"/>
        <item x="142"/>
        <item x="204"/>
        <item x="241"/>
        <item x="175"/>
        <item x="211"/>
        <item x="43"/>
        <item x="214"/>
        <item x="76"/>
        <item x="178"/>
        <item x="124"/>
        <item x="207"/>
        <item x="50"/>
        <item x="225"/>
        <item x="226"/>
        <item x="82"/>
        <item x="96"/>
        <item x="21"/>
        <item x="28"/>
        <item x="37"/>
        <item x="200"/>
        <item x="86"/>
        <item x="187"/>
        <item x="103"/>
        <item x="125"/>
        <item x="115"/>
        <item x="267"/>
        <item x="143"/>
        <item x="32"/>
        <item x="61"/>
        <item x="120"/>
        <item x="20"/>
        <item x="74"/>
        <item x="18"/>
        <item x="89"/>
        <item x="248"/>
        <item x="41"/>
        <item x="244"/>
        <item x="33"/>
        <item x="252"/>
        <item x="274"/>
        <item x="140"/>
        <item x="114"/>
        <item x="14"/>
        <item x="22"/>
        <item x="216"/>
        <item x="47"/>
        <item x="224"/>
        <item x="64"/>
        <item x="228"/>
        <item x="184"/>
        <item x="138"/>
        <item x="150"/>
        <item x="54"/>
        <item x="268"/>
        <item x="263"/>
        <item x="146"/>
        <item x="24"/>
        <item x="107"/>
        <item x="44"/>
        <item x="131"/>
        <item x="151"/>
        <item x="231"/>
        <item x="10"/>
        <item x="134"/>
        <item x="25"/>
        <item x="91"/>
        <item x="78"/>
        <item x="188"/>
        <item x="111"/>
        <item x="101"/>
        <item x="171"/>
        <item x="194"/>
        <item x="212"/>
        <item x="230"/>
        <item x="247"/>
        <item x="8"/>
        <item x="261"/>
        <item x="208"/>
        <item x="46"/>
        <item x="223"/>
        <item x="245"/>
        <item x="240"/>
        <item x="156"/>
        <item x="154"/>
        <item x="122"/>
        <item x="129"/>
        <item x="238"/>
        <item x="132"/>
        <item x="84"/>
        <item x="1"/>
        <item x="116"/>
        <item x="130"/>
        <item x="254"/>
        <item x="9"/>
        <item x="272"/>
        <item x="75"/>
        <item x="58"/>
        <item x="88"/>
        <item x="250"/>
        <item x="222"/>
        <item x="5"/>
        <item x="40"/>
        <item x="2"/>
        <item x="7"/>
        <item x="235"/>
        <item x="51"/>
        <item x="31"/>
        <item x="186"/>
        <item x="149"/>
        <item x="117"/>
        <item x="4"/>
        <item x="191"/>
        <item x="215"/>
        <item x="100"/>
        <item x="193"/>
        <item x="255"/>
        <item x="195"/>
        <item x="165"/>
        <item x="136"/>
        <item x="147"/>
        <item x="60"/>
        <item x="217"/>
        <item x="13"/>
        <item x="83"/>
        <item x="185"/>
        <item x="87"/>
        <item x="271"/>
        <item x="26"/>
        <item x="127"/>
        <item x="182"/>
        <item x="63"/>
        <item x="73"/>
        <item x="77"/>
        <item x="258"/>
        <item x="80"/>
        <item x="218"/>
        <item x="256"/>
        <item x="16"/>
        <item x="253"/>
        <item x="196"/>
        <item x="137"/>
        <item x="55"/>
        <item x="164"/>
        <item x="153"/>
        <item x="56"/>
        <item x="27"/>
        <item x="3"/>
        <item x="45"/>
        <item x="99"/>
        <item t="default"/>
      </items>
    </pivotField>
    <pivotField showAll="0">
      <items count="6">
        <item x="4"/>
        <item x="1"/>
        <item x="0"/>
        <item x="2"/>
        <item x="3"/>
        <item t="default"/>
      </items>
    </pivotField>
    <pivotField showAll="0"/>
    <pivotField showAll="0">
      <items count="7">
        <item x="2"/>
        <item x="3"/>
        <item x="5"/>
        <item x="4"/>
        <item x="1"/>
        <item x="0"/>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v="5"/>
    </i>
    <i>
      <x v="3"/>
    </i>
    <i>
      <x v="6"/>
    </i>
    <i>
      <x v="8"/>
    </i>
    <i>
      <x v="11"/>
    </i>
    <i t="grand">
      <x/>
    </i>
  </rowItems>
  <colItems count="1">
    <i/>
  </colItems>
  <dataFields count="1">
    <dataField name="Sum of Final Price" fld="18" baseField="0" baseItem="0" numFmtId="164"/>
  </dataFields>
  <formats count="3">
    <format dxfId="4">
      <pivotArea collapsedLevelsAreSubtotals="1" fieldPosition="0">
        <references count="1">
          <reference field="4" count="1">
            <x v="5"/>
          </reference>
        </references>
      </pivotArea>
    </format>
    <format dxfId="3">
      <pivotArea collapsedLevelsAreSubtotals="1" fieldPosition="0">
        <references count="1">
          <reference field="4" count="1">
            <x v="5"/>
          </reference>
        </references>
      </pivotArea>
    </format>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CE2FB5-671D-40EA-8C4E-893F500F225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1">
    <pivotField showAll="0"/>
    <pivotField showAll="0"/>
    <pivotField showAll="0"/>
    <pivotField showAll="0"/>
    <pivotField showAll="0"/>
    <pivotField showAll="0">
      <items count="10">
        <item x="6"/>
        <item x="3"/>
        <item x="1"/>
        <item x="0"/>
        <item x="8"/>
        <item x="4"/>
        <item x="7"/>
        <item x="2"/>
        <item x="5"/>
        <item t="default"/>
      </items>
    </pivotField>
    <pivotField showAll="0"/>
    <pivotField showAll="0">
      <items count="7">
        <item x="5"/>
        <item x="2"/>
        <item x="0"/>
        <item x="3"/>
        <item x="4"/>
        <item x="1"/>
        <item t="default"/>
      </items>
    </pivotField>
    <pivotField showAll="0"/>
    <pivotField showAll="0"/>
    <pivotField showAll="0"/>
    <pivotField numFmtId="14" showAll="0">
      <items count="276">
        <item x="242"/>
        <item x="233"/>
        <item x="118"/>
        <item x="213"/>
        <item x="227"/>
        <item x="159"/>
        <item x="17"/>
        <item x="6"/>
        <item x="273"/>
        <item x="92"/>
        <item x="90"/>
        <item x="106"/>
        <item x="98"/>
        <item x="59"/>
        <item x="109"/>
        <item x="176"/>
        <item x="162"/>
        <item x="72"/>
        <item x="180"/>
        <item x="173"/>
        <item x="158"/>
        <item x="148"/>
        <item x="141"/>
        <item x="94"/>
        <item x="155"/>
        <item x="29"/>
        <item x="169"/>
        <item x="183"/>
        <item x="79"/>
        <item x="181"/>
        <item x="192"/>
        <item x="202"/>
        <item x="170"/>
        <item x="139"/>
        <item x="123"/>
        <item x="145"/>
        <item x="243"/>
        <item x="128"/>
        <item x="179"/>
        <item x="249"/>
        <item x="53"/>
        <item x="93"/>
        <item x="133"/>
        <item x="71"/>
        <item x="205"/>
        <item x="38"/>
        <item x="95"/>
        <item x="236"/>
        <item x="97"/>
        <item x="70"/>
        <item x="206"/>
        <item x="246"/>
        <item x="104"/>
        <item x="177"/>
        <item x="68"/>
        <item x="81"/>
        <item x="57"/>
        <item x="67"/>
        <item x="112"/>
        <item x="264"/>
        <item x="259"/>
        <item x="35"/>
        <item x="163"/>
        <item x="270"/>
        <item x="42"/>
        <item x="126"/>
        <item x="157"/>
        <item x="113"/>
        <item x="167"/>
        <item x="110"/>
        <item x="160"/>
        <item x="232"/>
        <item x="257"/>
        <item x="239"/>
        <item x="260"/>
        <item x="30"/>
        <item x="220"/>
        <item x="172"/>
        <item x="190"/>
        <item x="234"/>
        <item x="108"/>
        <item x="168"/>
        <item x="152"/>
        <item x="36"/>
        <item x="262"/>
        <item x="189"/>
        <item x="265"/>
        <item x="210"/>
        <item x="15"/>
        <item x="237"/>
        <item x="161"/>
        <item x="69"/>
        <item x="266"/>
        <item x="85"/>
        <item x="65"/>
        <item x="105"/>
        <item x="102"/>
        <item x="203"/>
        <item x="121"/>
        <item x="52"/>
        <item x="48"/>
        <item x="11"/>
        <item x="144"/>
        <item x="197"/>
        <item x="19"/>
        <item x="251"/>
        <item x="269"/>
        <item x="219"/>
        <item x="66"/>
        <item x="166"/>
        <item x="23"/>
        <item x="12"/>
        <item x="0"/>
        <item x="229"/>
        <item x="199"/>
        <item x="135"/>
        <item x="198"/>
        <item x="209"/>
        <item x="49"/>
        <item x="174"/>
        <item x="201"/>
        <item x="39"/>
        <item x="221"/>
        <item x="34"/>
        <item x="119"/>
        <item x="62"/>
        <item x="142"/>
        <item x="204"/>
        <item x="241"/>
        <item x="175"/>
        <item x="211"/>
        <item x="43"/>
        <item x="214"/>
        <item x="76"/>
        <item x="178"/>
        <item x="124"/>
        <item x="207"/>
        <item x="50"/>
        <item x="225"/>
        <item x="226"/>
        <item x="82"/>
        <item x="96"/>
        <item x="21"/>
        <item x="28"/>
        <item x="37"/>
        <item x="200"/>
        <item x="86"/>
        <item x="187"/>
        <item x="103"/>
        <item x="125"/>
        <item x="115"/>
        <item x="267"/>
        <item x="143"/>
        <item x="32"/>
        <item x="61"/>
        <item x="120"/>
        <item x="20"/>
        <item x="74"/>
        <item x="18"/>
        <item x="89"/>
        <item x="248"/>
        <item x="41"/>
        <item x="244"/>
        <item x="33"/>
        <item x="252"/>
        <item x="274"/>
        <item x="140"/>
        <item x="114"/>
        <item x="14"/>
        <item x="22"/>
        <item x="216"/>
        <item x="47"/>
        <item x="224"/>
        <item x="64"/>
        <item x="228"/>
        <item x="184"/>
        <item x="138"/>
        <item x="150"/>
        <item x="54"/>
        <item x="268"/>
        <item x="263"/>
        <item x="146"/>
        <item x="24"/>
        <item x="107"/>
        <item x="44"/>
        <item x="131"/>
        <item x="151"/>
        <item x="231"/>
        <item x="10"/>
        <item x="134"/>
        <item x="25"/>
        <item x="91"/>
        <item x="78"/>
        <item x="188"/>
        <item x="111"/>
        <item x="101"/>
        <item x="171"/>
        <item x="194"/>
        <item x="212"/>
        <item x="230"/>
        <item x="247"/>
        <item x="8"/>
        <item x="261"/>
        <item x="208"/>
        <item x="46"/>
        <item x="223"/>
        <item x="245"/>
        <item x="240"/>
        <item x="156"/>
        <item x="154"/>
        <item x="122"/>
        <item x="129"/>
        <item x="238"/>
        <item x="132"/>
        <item x="84"/>
        <item x="1"/>
        <item x="116"/>
        <item x="130"/>
        <item x="254"/>
        <item x="9"/>
        <item x="272"/>
        <item x="75"/>
        <item x="58"/>
        <item x="88"/>
        <item x="250"/>
        <item x="222"/>
        <item x="5"/>
        <item x="40"/>
        <item x="2"/>
        <item x="7"/>
        <item x="235"/>
        <item x="51"/>
        <item x="31"/>
        <item x="186"/>
        <item x="149"/>
        <item x="117"/>
        <item x="4"/>
        <item x="191"/>
        <item x="215"/>
        <item x="100"/>
        <item x="193"/>
        <item x="255"/>
        <item x="195"/>
        <item x="165"/>
        <item x="136"/>
        <item x="147"/>
        <item x="60"/>
        <item x="217"/>
        <item x="13"/>
        <item x="83"/>
        <item x="185"/>
        <item x="87"/>
        <item x="271"/>
        <item x="26"/>
        <item x="127"/>
        <item x="182"/>
        <item x="63"/>
        <item x="73"/>
        <item x="77"/>
        <item x="258"/>
        <item x="80"/>
        <item x="218"/>
        <item x="256"/>
        <item x="16"/>
        <item x="253"/>
        <item x="196"/>
        <item x="137"/>
        <item x="55"/>
        <item x="164"/>
        <item x="153"/>
        <item x="56"/>
        <item x="27"/>
        <item x="3"/>
        <item x="45"/>
        <item x="99"/>
        <item t="default"/>
      </items>
    </pivotField>
    <pivotField axis="axisRow" showAll="0">
      <items count="6">
        <item x="4"/>
        <item x="1"/>
        <item x="0"/>
        <item x="2"/>
        <item x="3"/>
        <item t="default"/>
      </items>
    </pivotField>
    <pivotField showAll="0"/>
    <pivotField showAll="0">
      <items count="7">
        <item x="2"/>
        <item x="3"/>
        <item x="5"/>
        <item x="4"/>
        <item x="1"/>
        <item x="0"/>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6">
    <i>
      <x/>
    </i>
    <i>
      <x v="1"/>
    </i>
    <i>
      <x v="2"/>
    </i>
    <i>
      <x v="3"/>
    </i>
    <i>
      <x v="4"/>
    </i>
    <i t="grand">
      <x/>
    </i>
  </rowItems>
  <colItems count="1">
    <i/>
  </colItems>
  <dataFields count="1">
    <dataField name="Sum of Final Price" fld="18" baseField="0" baseItem="0" numFmtId="164"/>
  </dataFields>
  <formats count="2">
    <format dxfId="1">
      <pivotArea outline="0" collapsedLevelsAreSubtotals="1" fieldPosition="0"/>
    </format>
    <format dxfId="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2" count="1" selected="0">
            <x v="0"/>
          </reference>
        </references>
      </pivotArea>
    </chartFormat>
    <chartFormat chart="6" format="14">
      <pivotArea type="data" outline="0" fieldPosition="0">
        <references count="2">
          <reference field="4294967294" count="1" selected="0">
            <x v="0"/>
          </reference>
          <reference field="12" count="1" selected="0">
            <x v="1"/>
          </reference>
        </references>
      </pivotArea>
    </chartFormat>
    <chartFormat chart="6" format="15">
      <pivotArea type="data" outline="0" fieldPosition="0">
        <references count="2">
          <reference field="4294967294" count="1" selected="0">
            <x v="0"/>
          </reference>
          <reference field="12" count="1" selected="0">
            <x v="2"/>
          </reference>
        </references>
      </pivotArea>
    </chartFormat>
    <chartFormat chart="6" format="16">
      <pivotArea type="data" outline="0" fieldPosition="0">
        <references count="2">
          <reference field="4294967294" count="1" selected="0">
            <x v="0"/>
          </reference>
          <reference field="12" count="1" selected="0">
            <x v="3"/>
          </reference>
        </references>
      </pivotArea>
    </chartFormat>
    <chartFormat chart="6" format="17">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7C22834D-E8EE-4F84-9671-12B508FEEF44}" sourceName="Months (OrderDate)">
  <pivotTables>
    <pivotTable tabId="11" name="PivotTable3"/>
    <pivotTable tabId="12" name="PivotTable4"/>
    <pivotTable tabId="13" name="PivotTable1"/>
    <pivotTable tabId="14" name="PivotTable2"/>
    <pivotTable tabId="15" name="PivotTable3"/>
    <pivotTable tabId="16" name="PivotTable4"/>
    <pivotTable tabId="17" name="PivotTable5"/>
    <pivotTable tabId="20" name="PivotTable6"/>
  </pivotTables>
  <data>
    <tabular pivotCacheId="256245542">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968AB9F-4D67-40D9-8F82-857D96C0F0DD}" sourceName="State">
  <pivotTables>
    <pivotTable tabId="11" name="PivotTable3"/>
    <pivotTable tabId="12" name="PivotTable4"/>
    <pivotTable tabId="13" name="PivotTable1"/>
    <pivotTable tabId="14" name="PivotTable2"/>
    <pivotTable tabId="15" name="PivotTable3"/>
    <pivotTable tabId="16" name="PivotTable4"/>
    <pivotTable tabId="17" name="PivotTable5"/>
    <pivotTable tabId="20" name="PivotTable6"/>
  </pivotTables>
  <data>
    <tabular pivotCacheId="256245542">
      <items count="9">
        <i x="6" s="1"/>
        <i x="3" s="1"/>
        <i x="1" s="1"/>
        <i x="0" s="1"/>
        <i x="8" s="1"/>
        <i x="4" s="1"/>
        <i x="7"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3B11B1-0AFE-4923-970D-3686592633DC}" sourceName="Category">
  <pivotTables>
    <pivotTable tabId="11" name="PivotTable3"/>
    <pivotTable tabId="12" name="PivotTable4"/>
    <pivotTable tabId="13" name="PivotTable1"/>
    <pivotTable tabId="14" name="PivotTable2"/>
    <pivotTable tabId="15" name="PivotTable3"/>
    <pivotTable tabId="16" name="PivotTable4"/>
    <pivotTable tabId="17" name="PivotTable5"/>
    <pivotTable tabId="20" name="PivotTable6"/>
  </pivotTables>
  <data>
    <tabular pivotCacheId="256245542">
      <items count="6">
        <i x="5" s="1"/>
        <i x="2" s="1"/>
        <i x="0" s="1"/>
        <i x="3"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2B107C88-6B85-4051-9A8A-6DC1F67CD92F}" sourceName="PaymentMethod">
  <pivotTables>
    <pivotTable tabId="11" name="PivotTable3"/>
    <pivotTable tabId="12" name="PivotTable4"/>
    <pivotTable tabId="13" name="PivotTable1"/>
    <pivotTable tabId="14" name="PivotTable2"/>
    <pivotTable tabId="15" name="PivotTable3"/>
    <pivotTable tabId="16" name="PivotTable4"/>
    <pivotTable tabId="17" name="PivotTable5"/>
    <pivotTable tabId="20" name="PivotTable6"/>
  </pivotTables>
  <data>
    <tabular pivotCacheId="256245542">
      <items count="5">
        <i x="4" s="1"/>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BDFF9B6-7B8F-4BB0-B8F0-B33498189E91}" sourceName="SalesPerson">
  <pivotTables>
    <pivotTable tabId="11" name="PivotTable3"/>
    <pivotTable tabId="12" name="PivotTable4"/>
    <pivotTable tabId="13" name="PivotTable1"/>
    <pivotTable tabId="14" name="PivotTable2"/>
    <pivotTable tabId="15" name="PivotTable3"/>
    <pivotTable tabId="16" name="PivotTable4"/>
    <pivotTable tabId="17" name="PivotTable5"/>
    <pivotTable tabId="20" name="PivotTable6"/>
  </pivotTables>
  <data>
    <tabular pivotCacheId="256245542">
      <items count="6">
        <i x="2" s="1"/>
        <i x="3" s="1"/>
        <i x="5"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Date)" xr10:uid="{D0BD9E36-970D-4D34-922C-F5E157A719CB}" cache="Slicer_Months__OrderDate" caption="Months (OrderDate)" style="SlicerStyleDark4" rowHeight="234950"/>
  <slicer name="State" xr10:uid="{A94FD779-629E-44ED-A93B-83598C1D7E66}" cache="Slicer_State" caption="State" startItem="1" style="SlicerStyleDark4" rowHeight="234950"/>
  <slicer name="Category" xr10:uid="{B2B07249-194C-4F47-BABA-5E5FF3F0C8D8}" cache="Slicer_Category" caption="Category" columnCount="3" style="SlicerStyleDark4" rowHeight="234950"/>
  <slicer name="PaymentMethod" xr10:uid="{9CCB888F-BF5D-4ABF-80C9-2F9E69FC787D}" cache="Slicer_PaymentMethod" caption="PaymentMethod" style="SlicerStyleDark4" rowHeight="234950"/>
  <slicer name="SalesPerson" xr10:uid="{6B6F4F8F-7503-4E9C-BBF6-B53E9F72BA8E}" cache="Slicer_SalesPerson" caption="SalesPerson"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DD91E8-D884-4151-9915-44402F826850}" name="Table1" displayName="Table1" ref="A1:P513" totalsRowShown="0" headerRowDxfId="33" dataDxfId="31" headerRowBorderDxfId="32" tableBorderDxfId="30" totalsRowBorderDxfId="29">
  <autoFilter ref="A1:P513" xr:uid="{8EDD91E8-D884-4151-9915-44402F826850}"/>
  <sortState xmlns:xlrd2="http://schemas.microsoft.com/office/spreadsheetml/2017/richdata2" ref="A2:P513">
    <sortCondition ref="A1:A513"/>
  </sortState>
  <tableColumns count="16">
    <tableColumn id="1" xr3:uid="{1027CB43-F7F4-4F19-A5DB-89B0865D3323}" name="OrderID" dataDxfId="28"/>
    <tableColumn id="2" xr3:uid="{C169E240-ABAC-4647-8244-351050FDD0F9}" name="CustomerName" dataDxfId="27"/>
    <tableColumn id="3" xr3:uid="{8498BE1B-011C-41CC-A8F6-687FB3DF2EEE}" name="Email" dataDxfId="26"/>
    <tableColumn id="4" xr3:uid="{8AF5797F-0D34-4C91-99AC-20A1B0AA7A4F}" name="Phone" dataDxfId="25"/>
    <tableColumn id="5" xr3:uid="{7B4720FA-2646-4665-8D98-B6159812A264}" name="City" dataDxfId="24"/>
    <tableColumn id="6" xr3:uid="{E04E2D04-742F-4E98-88C5-F5C55591B27D}" name="State" dataDxfId="23"/>
    <tableColumn id="7" xr3:uid="{A783FA08-371E-4FC3-8E4A-89B9EBEA5B7C}" name="Product" dataDxfId="22"/>
    <tableColumn id="8" xr3:uid="{EF2FE256-5821-4415-AA7C-35285AEAAA0F}" name="Category" dataDxfId="21"/>
    <tableColumn id="9" xr3:uid="{9F987998-671B-4991-9F5F-B7F84A9BB251}" name="Qty" dataDxfId="20"/>
    <tableColumn id="10" xr3:uid="{ECFC17AA-C923-454D-92FC-70CE105F88AE}" name="UnitPrice" dataDxfId="19"/>
    <tableColumn id="11" xr3:uid="{700DFAB5-A7D8-4017-AE26-D5171D26416C}" name="Discount%" dataDxfId="18"/>
    <tableColumn id="12" xr3:uid="{5D80E1DB-FFBA-48D4-B337-22065B2280B7}" name="OrderDate" dataDxfId="17"/>
    <tableColumn id="13" xr3:uid="{AD199516-1BF6-45F6-8579-00414AA2EAF4}" name="PaymentMethod" dataDxfId="16"/>
    <tableColumn id="14" xr3:uid="{9C93D767-CEA8-4539-ADA4-60F499DEFCAE}" name="DeliveryStatus" dataDxfId="15"/>
    <tableColumn id="15" xr3:uid="{D5A908F7-EEB4-4E42-AA4D-A844D9ED20B7}" name="SalesPerson" dataDxfId="14"/>
    <tableColumn id="16" xr3:uid="{B1041DB3-853E-4355-9D0F-4B66D5129628}" name="Rating"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F8048C-4B85-4DF1-8E04-22E9DFA8EFB0}" name="Table2" displayName="Table2" ref="A1:S501" totalsRowShown="0" headerRowDxfId="55" dataDxfId="54" tableBorderDxfId="53">
  <autoFilter ref="A1:S501" xr:uid="{CEF8048C-4B85-4DF1-8E04-22E9DFA8EFB0}"/>
  <sortState xmlns:xlrd2="http://schemas.microsoft.com/office/spreadsheetml/2017/richdata2" ref="A2:S501">
    <sortCondition ref="A1:A501"/>
  </sortState>
  <tableColumns count="19">
    <tableColumn id="1" xr3:uid="{3BA169EF-CB84-40A9-8634-2C3E64D41176}" name="Column1" dataDxfId="52"/>
    <tableColumn id="2" xr3:uid="{8F49B22A-E8B4-41D6-9349-B6ADA6BB28B2}" name="CustomerName" dataDxfId="51"/>
    <tableColumn id="3" xr3:uid="{4FE8CEB7-49D6-4FCA-ADC9-2589329396F8}" name="Email" dataDxfId="50"/>
    <tableColumn id="4" xr3:uid="{FD0FBBE8-63C0-4B7A-8570-DEDAA84D4B79}" name="Phone2" dataDxfId="49"/>
    <tableColumn id="5" xr3:uid="{4689B649-3998-40AE-99D9-C770763BF6A5}" name="City" dataDxfId="48"/>
    <tableColumn id="6" xr3:uid="{0822453F-980E-4C90-A309-6D6F30C5C150}" name="State" dataDxfId="47"/>
    <tableColumn id="7" xr3:uid="{A16313DE-198A-4932-AB5B-710AB6770F38}" name="Product" dataDxfId="46"/>
    <tableColumn id="8" xr3:uid="{C6DD2357-4DA3-4A7D-B774-032DE136DB71}" name="Category" dataDxfId="45"/>
    <tableColumn id="9" xr3:uid="{1BF3C1CD-C44A-44FB-A83D-080C9E95FAD7}" name="Qty" dataDxfId="44"/>
    <tableColumn id="10" xr3:uid="{1E94909D-4AA0-4730-8B3B-E5584823181B}" name="UnitPrice" dataDxfId="43"/>
    <tableColumn id="11" xr3:uid="{3BBBC22F-C938-4064-AF53-10A0DB96DF1D}" name="Discount%" dataDxfId="42"/>
    <tableColumn id="12" xr3:uid="{25789619-80B2-47FF-88B9-3EE5C123C113}" name="OrderDate" dataDxfId="41"/>
    <tableColumn id="13" xr3:uid="{148245C0-FBB0-4ED3-A86B-5900AB90C8E1}" name="PaymentMethod" dataDxfId="40"/>
    <tableColumn id="14" xr3:uid="{0A51B13A-0167-45FD-BC20-9C5105987743}" name="DeliveryStatus" dataDxfId="39"/>
    <tableColumn id="15" xr3:uid="{7C4C99CD-D130-404A-8FE9-61864E12847A}" name="SalesPerson" dataDxfId="38"/>
    <tableColumn id="16" xr3:uid="{6A38192B-0DB0-4F2B-AA19-FA8894D26DB1}" name="Rating" dataDxfId="37"/>
    <tableColumn id="17" xr3:uid="{C106E384-AC5D-4F8C-BC07-E69BC7A836E1}" name="Total Price" dataDxfId="36" dataCellStyle="Comma"/>
    <tableColumn id="18" xr3:uid="{F11B6104-EF0D-4CDC-B748-E6CC49EC4592}" name="Total Discount" dataDxfId="35" dataCellStyle="Comma"/>
    <tableColumn id="19" xr3:uid="{43C1EB99-16D4-4A60-A389-A255809C8DA1}" name="Final Price" dataDxfId="34" dataCellStyle="Comma"/>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13"/>
  <sheetViews>
    <sheetView zoomScaleNormal="100" workbookViewId="0">
      <pane ySplit="1" topLeftCell="A2" activePane="bottomLeft" state="frozen"/>
      <selection pane="bottomLeft" activeCell="D22" sqref="D22"/>
    </sheetView>
  </sheetViews>
  <sheetFormatPr defaultColWidth="8.6640625" defaultRowHeight="14.4" x14ac:dyDescent="0.3"/>
  <cols>
    <col min="1" max="1" width="10.44140625" customWidth="1"/>
    <col min="2" max="2" width="20" customWidth="1"/>
    <col min="3" max="3" width="28" customWidth="1"/>
    <col min="4" max="5" width="14" customWidth="1"/>
    <col min="6" max="6" width="16" customWidth="1"/>
    <col min="7" max="7" width="14" customWidth="1"/>
    <col min="8" max="8" width="12" customWidth="1"/>
    <col min="9" max="9" width="6.33203125" customWidth="1"/>
    <col min="10" max="10" width="11.77734375" customWidth="1"/>
    <col min="11" max="11" width="13.33203125" customWidth="1"/>
    <col min="12" max="12" width="14" customWidth="1"/>
    <col min="13" max="13" width="18.77734375" customWidth="1"/>
    <col min="14" max="14" width="17.21875" customWidth="1"/>
    <col min="15" max="15" width="15.109375" customWidth="1"/>
    <col min="16" max="16" width="9.109375" customWidth="1"/>
  </cols>
  <sheetData>
    <row r="1" spans="1:16" x14ac:dyDescent="0.3">
      <c r="A1" s="9"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1" t="s">
        <v>15</v>
      </c>
    </row>
    <row r="2" spans="1:16" x14ac:dyDescent="0.3">
      <c r="A2" s="6">
        <v>10001</v>
      </c>
      <c r="B2" s="3" t="s">
        <v>728</v>
      </c>
      <c r="C2" s="3" t="s">
        <v>729</v>
      </c>
      <c r="D2" s="3" t="s">
        <v>730</v>
      </c>
      <c r="E2" s="3" t="s">
        <v>154</v>
      </c>
      <c r="F2" s="3" t="s">
        <v>98</v>
      </c>
      <c r="G2" s="3" t="s">
        <v>21</v>
      </c>
      <c r="H2" s="3" t="s">
        <v>22</v>
      </c>
      <c r="I2" s="4">
        <v>5</v>
      </c>
      <c r="J2" s="4">
        <v>1391</v>
      </c>
      <c r="K2" s="4">
        <v>0</v>
      </c>
      <c r="L2" s="3" t="s">
        <v>731</v>
      </c>
      <c r="M2" s="3" t="s">
        <v>43</v>
      </c>
      <c r="N2" s="3" t="s">
        <v>70</v>
      </c>
      <c r="O2" s="3" t="s">
        <v>71</v>
      </c>
      <c r="P2" s="8"/>
    </row>
    <row r="3" spans="1:16" x14ac:dyDescent="0.3">
      <c r="A3" s="5">
        <v>10002</v>
      </c>
      <c r="B3" s="1" t="s">
        <v>404</v>
      </c>
      <c r="C3" s="1" t="s">
        <v>405</v>
      </c>
      <c r="D3" s="1" t="s">
        <v>406</v>
      </c>
      <c r="E3" s="1" t="s">
        <v>111</v>
      </c>
      <c r="F3" s="1" t="s">
        <v>308</v>
      </c>
      <c r="G3" s="1" t="s">
        <v>407</v>
      </c>
      <c r="H3" s="1" t="s">
        <v>83</v>
      </c>
      <c r="I3" s="2">
        <v>5</v>
      </c>
      <c r="J3" s="2">
        <v>22950</v>
      </c>
      <c r="K3" s="2">
        <v>0</v>
      </c>
      <c r="L3" s="1" t="s">
        <v>408</v>
      </c>
      <c r="M3" s="1" t="s">
        <v>69</v>
      </c>
      <c r="N3" s="1" t="s">
        <v>70</v>
      </c>
      <c r="O3" s="1" t="s">
        <v>71</v>
      </c>
      <c r="P3" s="7">
        <v>3</v>
      </c>
    </row>
    <row r="4" spans="1:16" x14ac:dyDescent="0.3">
      <c r="A4" s="6">
        <v>10003</v>
      </c>
      <c r="B4" s="3" t="s">
        <v>1274</v>
      </c>
      <c r="C4" s="3" t="s">
        <v>1275</v>
      </c>
      <c r="D4" s="3" t="s">
        <v>1276</v>
      </c>
      <c r="E4" s="3" t="s">
        <v>738</v>
      </c>
      <c r="F4" s="3" t="s">
        <v>354</v>
      </c>
      <c r="G4" s="3" t="s">
        <v>381</v>
      </c>
      <c r="H4" s="3" t="s">
        <v>83</v>
      </c>
      <c r="I4" s="4">
        <v>1</v>
      </c>
      <c r="J4" s="4">
        <v>57438</v>
      </c>
      <c r="K4" s="4"/>
      <c r="L4" s="3" t="s">
        <v>702</v>
      </c>
      <c r="M4" s="3" t="s">
        <v>78</v>
      </c>
      <c r="N4" s="3" t="s">
        <v>44</v>
      </c>
      <c r="O4" s="3" t="s">
        <v>34</v>
      </c>
      <c r="P4" s="8">
        <v>1</v>
      </c>
    </row>
    <row r="5" spans="1:16" x14ac:dyDescent="0.3">
      <c r="A5" s="5">
        <v>10004</v>
      </c>
      <c r="B5" s="1" t="s">
        <v>1027</v>
      </c>
      <c r="C5" s="1" t="s">
        <v>239</v>
      </c>
      <c r="D5" s="1" t="s">
        <v>1028</v>
      </c>
      <c r="E5" s="1" t="s">
        <v>74</v>
      </c>
      <c r="F5" s="1" t="s">
        <v>105</v>
      </c>
      <c r="G5" s="1" t="s">
        <v>142</v>
      </c>
      <c r="H5" s="1" t="s">
        <v>143</v>
      </c>
      <c r="I5" s="2">
        <v>1</v>
      </c>
      <c r="J5" s="2">
        <v>478</v>
      </c>
      <c r="K5" s="2">
        <v>0</v>
      </c>
      <c r="L5" s="1" t="s">
        <v>985</v>
      </c>
      <c r="M5" s="1" t="s">
        <v>157</v>
      </c>
      <c r="N5" s="1" t="s">
        <v>25</v>
      </c>
      <c r="O5" s="1" t="s">
        <v>53</v>
      </c>
      <c r="P5" s="7">
        <v>5</v>
      </c>
    </row>
    <row r="6" spans="1:16" x14ac:dyDescent="0.3">
      <c r="A6" s="5">
        <v>10005</v>
      </c>
      <c r="B6" s="1" t="s">
        <v>919</v>
      </c>
      <c r="C6" s="1" t="s">
        <v>920</v>
      </c>
      <c r="D6" s="1" t="s">
        <v>921</v>
      </c>
      <c r="E6" s="1" t="s">
        <v>391</v>
      </c>
      <c r="F6" s="1" t="s">
        <v>90</v>
      </c>
      <c r="G6" s="1" t="s">
        <v>179</v>
      </c>
      <c r="H6" s="1" t="s">
        <v>60</v>
      </c>
      <c r="I6" s="2">
        <v>2</v>
      </c>
      <c r="J6" s="2">
        <v>746</v>
      </c>
      <c r="K6" s="2">
        <v>0</v>
      </c>
      <c r="L6" s="1" t="s">
        <v>922</v>
      </c>
      <c r="M6" s="1" t="s">
        <v>560</v>
      </c>
      <c r="N6" s="1" t="s">
        <v>25</v>
      </c>
      <c r="O6" s="1" t="s">
        <v>34</v>
      </c>
      <c r="P6" s="7"/>
    </row>
    <row r="7" spans="1:16" x14ac:dyDescent="0.3">
      <c r="A7" s="6">
        <v>10006</v>
      </c>
      <c r="B7" s="3" t="s">
        <v>1097</v>
      </c>
      <c r="C7" s="3" t="s">
        <v>1098</v>
      </c>
      <c r="D7" s="3" t="s">
        <v>1099</v>
      </c>
      <c r="E7" s="3" t="s">
        <v>197</v>
      </c>
      <c r="F7" s="3" t="s">
        <v>214</v>
      </c>
      <c r="G7" s="3" t="s">
        <v>322</v>
      </c>
      <c r="H7" s="3" t="s">
        <v>83</v>
      </c>
      <c r="I7" s="4">
        <v>1</v>
      </c>
      <c r="J7" s="4">
        <v>1552</v>
      </c>
      <c r="K7" s="4">
        <v>10</v>
      </c>
      <c r="L7" s="3" t="s">
        <v>1100</v>
      </c>
      <c r="M7" s="3" t="s">
        <v>24</v>
      </c>
      <c r="N7" s="3" t="s">
        <v>70</v>
      </c>
      <c r="O7" s="3" t="s">
        <v>53</v>
      </c>
      <c r="P7" s="8">
        <v>1</v>
      </c>
    </row>
    <row r="8" spans="1:16" x14ac:dyDescent="0.3">
      <c r="A8" s="6">
        <v>10007</v>
      </c>
      <c r="B8" s="3" t="s">
        <v>505</v>
      </c>
      <c r="C8" s="3" t="s">
        <v>506</v>
      </c>
      <c r="D8" s="3" t="s">
        <v>960</v>
      </c>
      <c r="E8" s="3" t="s">
        <v>123</v>
      </c>
      <c r="F8" s="3" t="s">
        <v>30</v>
      </c>
      <c r="G8" s="3" t="s">
        <v>642</v>
      </c>
      <c r="H8" s="3" t="s">
        <v>22</v>
      </c>
      <c r="I8" s="4">
        <v>5</v>
      </c>
      <c r="J8" s="4">
        <v>1590</v>
      </c>
      <c r="K8" s="4">
        <v>20</v>
      </c>
      <c r="L8" s="3" t="s">
        <v>806</v>
      </c>
      <c r="M8" s="3" t="s">
        <v>78</v>
      </c>
      <c r="N8" s="3" t="s">
        <v>70</v>
      </c>
      <c r="O8" s="3" t="s">
        <v>174</v>
      </c>
      <c r="P8" s="8">
        <v>2</v>
      </c>
    </row>
    <row r="9" spans="1:16" x14ac:dyDescent="0.3">
      <c r="A9" s="6">
        <v>10008</v>
      </c>
      <c r="B9" s="3" t="s">
        <v>1029</v>
      </c>
      <c r="C9" s="3" t="s">
        <v>1030</v>
      </c>
      <c r="D9" s="3" t="s">
        <v>1031</v>
      </c>
      <c r="E9" s="3" t="s">
        <v>154</v>
      </c>
      <c r="F9" s="3" t="s">
        <v>98</v>
      </c>
      <c r="G9" s="3" t="s">
        <v>1032</v>
      </c>
      <c r="H9" s="3" t="s">
        <v>83</v>
      </c>
      <c r="I9" s="4">
        <v>4</v>
      </c>
      <c r="J9" s="4">
        <v>15494</v>
      </c>
      <c r="K9" s="4"/>
      <c r="L9" s="3" t="s">
        <v>1033</v>
      </c>
      <c r="M9" s="3" t="s">
        <v>24</v>
      </c>
      <c r="N9" s="3" t="s">
        <v>70</v>
      </c>
      <c r="O9" s="3" t="s">
        <v>71</v>
      </c>
      <c r="P9" s="8"/>
    </row>
    <row r="10" spans="1:16" x14ac:dyDescent="0.3">
      <c r="A10" s="5">
        <v>10009</v>
      </c>
      <c r="B10" s="1" t="s">
        <v>1480</v>
      </c>
      <c r="C10" s="1" t="s">
        <v>1322</v>
      </c>
      <c r="D10" s="1" t="s">
        <v>1481</v>
      </c>
      <c r="E10" s="1" t="s">
        <v>308</v>
      </c>
      <c r="F10" s="1" t="s">
        <v>117</v>
      </c>
      <c r="G10" s="1" t="s">
        <v>106</v>
      </c>
      <c r="H10" s="1" t="s">
        <v>83</v>
      </c>
      <c r="I10" s="2">
        <v>2</v>
      </c>
      <c r="J10" s="2">
        <v>10703</v>
      </c>
      <c r="K10" s="2"/>
      <c r="L10" s="1" t="s">
        <v>1482</v>
      </c>
      <c r="M10" s="1" t="s">
        <v>78</v>
      </c>
      <c r="N10" s="1" t="s">
        <v>25</v>
      </c>
      <c r="O10" s="1" t="s">
        <v>53</v>
      </c>
      <c r="P10" s="7">
        <v>5</v>
      </c>
    </row>
    <row r="11" spans="1:16" x14ac:dyDescent="0.3">
      <c r="A11" s="5">
        <v>10010</v>
      </c>
      <c r="B11" s="1" t="s">
        <v>72</v>
      </c>
      <c r="C11" s="1" t="s">
        <v>502</v>
      </c>
      <c r="D11" s="1" t="s">
        <v>1119</v>
      </c>
      <c r="E11" s="1" t="s">
        <v>343</v>
      </c>
      <c r="F11" s="1" t="s">
        <v>274</v>
      </c>
      <c r="G11" s="1" t="s">
        <v>333</v>
      </c>
      <c r="H11" s="1" t="s">
        <v>92</v>
      </c>
      <c r="I11" s="2">
        <v>3</v>
      </c>
      <c r="J11" s="2">
        <v>4715</v>
      </c>
      <c r="K11" s="2">
        <v>20</v>
      </c>
      <c r="L11" s="1" t="s">
        <v>1120</v>
      </c>
      <c r="M11" s="1" t="s">
        <v>78</v>
      </c>
      <c r="N11" s="1" t="s">
        <v>25</v>
      </c>
      <c r="O11" s="1" t="s">
        <v>174</v>
      </c>
      <c r="P11" s="7">
        <v>1</v>
      </c>
    </row>
    <row r="12" spans="1:16" x14ac:dyDescent="0.3">
      <c r="A12" s="6">
        <v>10010</v>
      </c>
      <c r="B12" s="3" t="s">
        <v>72</v>
      </c>
      <c r="C12" s="3" t="s">
        <v>502</v>
      </c>
      <c r="D12" s="3" t="s">
        <v>1119</v>
      </c>
      <c r="E12" s="3" t="s">
        <v>343</v>
      </c>
      <c r="F12" s="3" t="s">
        <v>274</v>
      </c>
      <c r="G12" s="3" t="s">
        <v>333</v>
      </c>
      <c r="H12" s="3" t="s">
        <v>92</v>
      </c>
      <c r="I12" s="4">
        <v>3</v>
      </c>
      <c r="J12" s="4">
        <v>4715</v>
      </c>
      <c r="K12" s="4">
        <v>20</v>
      </c>
      <c r="L12" s="3" t="s">
        <v>1120</v>
      </c>
      <c r="M12" s="3" t="s">
        <v>78</v>
      </c>
      <c r="N12" s="3" t="s">
        <v>25</v>
      </c>
      <c r="O12" s="3" t="s">
        <v>174</v>
      </c>
      <c r="P12" s="8">
        <v>1</v>
      </c>
    </row>
    <row r="13" spans="1:16" x14ac:dyDescent="0.3">
      <c r="A13" s="5">
        <v>10011</v>
      </c>
      <c r="B13" s="1" t="s">
        <v>255</v>
      </c>
      <c r="C13" s="1" t="s">
        <v>256</v>
      </c>
      <c r="D13" s="1" t="s">
        <v>1299</v>
      </c>
      <c r="E13" s="1" t="s">
        <v>74</v>
      </c>
      <c r="F13" s="1" t="s">
        <v>876</v>
      </c>
      <c r="G13" s="1" t="s">
        <v>231</v>
      </c>
      <c r="H13" s="1" t="s">
        <v>83</v>
      </c>
      <c r="I13" s="2">
        <v>1</v>
      </c>
      <c r="J13" s="2">
        <v>2572</v>
      </c>
      <c r="K13" s="2">
        <v>0</v>
      </c>
      <c r="L13" s="1" t="s">
        <v>1300</v>
      </c>
      <c r="M13" s="1" t="s">
        <v>560</v>
      </c>
      <c r="N13" s="1" t="s">
        <v>119</v>
      </c>
      <c r="O13" s="1" t="s">
        <v>71</v>
      </c>
      <c r="P13" s="7">
        <v>2</v>
      </c>
    </row>
    <row r="14" spans="1:16" x14ac:dyDescent="0.3">
      <c r="A14" s="5">
        <v>10012</v>
      </c>
      <c r="B14" s="1" t="s">
        <v>438</v>
      </c>
      <c r="C14" s="1" t="s">
        <v>439</v>
      </c>
      <c r="D14" s="1" t="s">
        <v>440</v>
      </c>
      <c r="E14" s="1" t="s">
        <v>343</v>
      </c>
      <c r="F14" s="1" t="s">
        <v>20</v>
      </c>
      <c r="G14" s="1" t="s">
        <v>91</v>
      </c>
      <c r="H14" s="1" t="s">
        <v>92</v>
      </c>
      <c r="I14" s="2">
        <v>4</v>
      </c>
      <c r="J14" s="2">
        <v>1677</v>
      </c>
      <c r="K14" s="2">
        <v>10</v>
      </c>
      <c r="L14" s="1" t="s">
        <v>441</v>
      </c>
      <c r="M14" s="1" t="s">
        <v>69</v>
      </c>
      <c r="N14" s="1" t="s">
        <v>33</v>
      </c>
      <c r="O14" s="1" t="s">
        <v>45</v>
      </c>
      <c r="P14" s="7"/>
    </row>
    <row r="15" spans="1:16" x14ac:dyDescent="0.3">
      <c r="A15" s="5">
        <v>10013</v>
      </c>
      <c r="B15" s="1" t="s">
        <v>883</v>
      </c>
      <c r="C15" s="1" t="s">
        <v>884</v>
      </c>
      <c r="D15" s="1" t="s">
        <v>885</v>
      </c>
      <c r="E15" s="1" t="s">
        <v>428</v>
      </c>
      <c r="F15" s="1" t="s">
        <v>886</v>
      </c>
      <c r="G15" s="1" t="s">
        <v>204</v>
      </c>
      <c r="H15" s="1" t="s">
        <v>143</v>
      </c>
      <c r="I15" s="2">
        <v>5</v>
      </c>
      <c r="J15" s="2">
        <v>539</v>
      </c>
      <c r="K15" s="2"/>
      <c r="L15" s="1" t="s">
        <v>887</v>
      </c>
      <c r="M15" s="1" t="s">
        <v>157</v>
      </c>
      <c r="N15" s="1" t="s">
        <v>33</v>
      </c>
      <c r="O15" s="1" t="s">
        <v>34</v>
      </c>
      <c r="P15" s="7">
        <v>5</v>
      </c>
    </row>
    <row r="16" spans="1:16" x14ac:dyDescent="0.3">
      <c r="A16" s="5">
        <v>10014</v>
      </c>
      <c r="B16" s="1" t="s">
        <v>793</v>
      </c>
      <c r="C16" s="1"/>
      <c r="D16" s="1"/>
      <c r="E16" s="1" t="s">
        <v>343</v>
      </c>
      <c r="F16" s="1" t="s">
        <v>50</v>
      </c>
      <c r="G16" s="1" t="s">
        <v>226</v>
      </c>
      <c r="H16" s="1" t="s">
        <v>22</v>
      </c>
      <c r="I16" s="2">
        <v>3</v>
      </c>
      <c r="J16" s="2">
        <v>905</v>
      </c>
      <c r="K16" s="2">
        <v>0</v>
      </c>
      <c r="L16" s="1" t="s">
        <v>794</v>
      </c>
      <c r="M16" s="1" t="s">
        <v>78</v>
      </c>
      <c r="N16" s="1" t="s">
        <v>33</v>
      </c>
      <c r="O16" s="1" t="s">
        <v>53</v>
      </c>
      <c r="P16" s="7">
        <v>4</v>
      </c>
    </row>
    <row r="17" spans="1:16" x14ac:dyDescent="0.3">
      <c r="A17" s="5">
        <v>10015</v>
      </c>
      <c r="B17" s="1" t="s">
        <v>1313</v>
      </c>
      <c r="C17" s="1" t="s">
        <v>525</v>
      </c>
      <c r="D17" s="1" t="s">
        <v>1314</v>
      </c>
      <c r="E17" s="1" t="s">
        <v>258</v>
      </c>
      <c r="F17" s="1" t="s">
        <v>259</v>
      </c>
      <c r="G17" s="1" t="s">
        <v>198</v>
      </c>
      <c r="H17" s="1" t="s">
        <v>41</v>
      </c>
      <c r="I17" s="2">
        <v>1</v>
      </c>
      <c r="J17" s="2">
        <v>180</v>
      </c>
      <c r="K17" s="2">
        <v>5</v>
      </c>
      <c r="L17" s="1" t="s">
        <v>168</v>
      </c>
      <c r="M17" s="1" t="s">
        <v>560</v>
      </c>
      <c r="N17" s="1" t="s">
        <v>33</v>
      </c>
      <c r="O17" s="1" t="s">
        <v>45</v>
      </c>
      <c r="P17" s="7"/>
    </row>
    <row r="18" spans="1:16" x14ac:dyDescent="0.3">
      <c r="A18" s="5">
        <v>10016</v>
      </c>
      <c r="B18" s="1" t="s">
        <v>127</v>
      </c>
      <c r="C18" s="1" t="s">
        <v>128</v>
      </c>
      <c r="D18" s="1" t="s">
        <v>129</v>
      </c>
      <c r="E18" s="1" t="s">
        <v>130</v>
      </c>
      <c r="F18" s="1" t="s">
        <v>50</v>
      </c>
      <c r="G18" s="1" t="s">
        <v>131</v>
      </c>
      <c r="H18" s="1" t="s">
        <v>92</v>
      </c>
      <c r="I18" s="2">
        <v>4</v>
      </c>
      <c r="J18" s="2">
        <v>2167</v>
      </c>
      <c r="K18" s="2"/>
      <c r="L18" s="1" t="s">
        <v>132</v>
      </c>
      <c r="M18" s="1" t="s">
        <v>43</v>
      </c>
      <c r="N18" s="1" t="s">
        <v>25</v>
      </c>
      <c r="O18" s="1"/>
      <c r="P18" s="7">
        <v>2</v>
      </c>
    </row>
    <row r="19" spans="1:16" x14ac:dyDescent="0.3">
      <c r="A19" s="6">
        <v>10017</v>
      </c>
      <c r="B19" s="3" t="s">
        <v>956</v>
      </c>
      <c r="C19" s="3" t="s">
        <v>750</v>
      </c>
      <c r="D19" s="3" t="s">
        <v>957</v>
      </c>
      <c r="E19" s="3" t="s">
        <v>572</v>
      </c>
      <c r="F19" s="3" t="s">
        <v>20</v>
      </c>
      <c r="G19" s="3" t="s">
        <v>231</v>
      </c>
      <c r="H19" s="3" t="s">
        <v>83</v>
      </c>
      <c r="I19" s="4">
        <v>3</v>
      </c>
      <c r="J19" s="4">
        <v>3571</v>
      </c>
      <c r="K19" s="4"/>
      <c r="L19" s="3" t="s">
        <v>817</v>
      </c>
      <c r="M19" s="3" t="s">
        <v>24</v>
      </c>
      <c r="N19" s="3" t="s">
        <v>33</v>
      </c>
      <c r="O19" s="3" t="s">
        <v>174</v>
      </c>
      <c r="P19" s="8">
        <v>2</v>
      </c>
    </row>
    <row r="20" spans="1:16" x14ac:dyDescent="0.3">
      <c r="A20" s="5">
        <v>10018</v>
      </c>
      <c r="B20" s="1" t="s">
        <v>807</v>
      </c>
      <c r="C20" s="1" t="s">
        <v>1419</v>
      </c>
      <c r="D20" s="1" t="s">
        <v>1420</v>
      </c>
      <c r="E20" s="1" t="s">
        <v>1318</v>
      </c>
      <c r="F20" s="1" t="s">
        <v>150</v>
      </c>
      <c r="G20" s="1" t="s">
        <v>333</v>
      </c>
      <c r="H20" s="1" t="s">
        <v>92</v>
      </c>
      <c r="I20" s="2">
        <v>1</v>
      </c>
      <c r="J20" s="2">
        <v>3281</v>
      </c>
      <c r="K20" s="2"/>
      <c r="L20" s="1" t="s">
        <v>1421</v>
      </c>
      <c r="M20" s="1" t="s">
        <v>186</v>
      </c>
      <c r="N20" s="1" t="s">
        <v>25</v>
      </c>
      <c r="O20" s="1" t="s">
        <v>45</v>
      </c>
      <c r="P20" s="7">
        <v>2</v>
      </c>
    </row>
    <row r="21" spans="1:16" x14ac:dyDescent="0.3">
      <c r="A21" s="5">
        <v>10019</v>
      </c>
      <c r="B21" s="1" t="s">
        <v>822</v>
      </c>
      <c r="C21" s="1" t="s">
        <v>823</v>
      </c>
      <c r="D21" s="1" t="s">
        <v>824</v>
      </c>
      <c r="E21" s="1" t="s">
        <v>572</v>
      </c>
      <c r="F21" s="1" t="s">
        <v>20</v>
      </c>
      <c r="G21" s="1" t="s">
        <v>59</v>
      </c>
      <c r="H21" s="1" t="s">
        <v>60</v>
      </c>
      <c r="I21" s="2">
        <v>1</v>
      </c>
      <c r="J21" s="2">
        <v>243</v>
      </c>
      <c r="K21" s="2">
        <v>0</v>
      </c>
      <c r="L21" s="1" t="s">
        <v>825</v>
      </c>
      <c r="M21" s="1" t="s">
        <v>145</v>
      </c>
      <c r="N21" s="1" t="s">
        <v>70</v>
      </c>
      <c r="O21" s="1" t="s">
        <v>53</v>
      </c>
      <c r="P21" s="7">
        <v>3</v>
      </c>
    </row>
    <row r="22" spans="1:16" x14ac:dyDescent="0.3">
      <c r="A22" s="6">
        <v>10020</v>
      </c>
      <c r="B22" s="3" t="s">
        <v>72</v>
      </c>
      <c r="C22" s="3" t="s">
        <v>502</v>
      </c>
      <c r="D22" s="3" t="s">
        <v>791</v>
      </c>
      <c r="E22" s="3" t="s">
        <v>19</v>
      </c>
      <c r="F22" s="3" t="s">
        <v>50</v>
      </c>
      <c r="G22" s="3" t="s">
        <v>179</v>
      </c>
      <c r="H22" s="3" t="s">
        <v>60</v>
      </c>
      <c r="I22" s="4">
        <v>3</v>
      </c>
      <c r="J22" s="4">
        <v>576</v>
      </c>
      <c r="K22" s="4"/>
      <c r="L22" s="3" t="s">
        <v>792</v>
      </c>
      <c r="M22" s="3" t="s">
        <v>85</v>
      </c>
      <c r="N22" s="3" t="s">
        <v>44</v>
      </c>
      <c r="O22" s="3" t="s">
        <v>45</v>
      </c>
      <c r="P22" s="8">
        <v>1</v>
      </c>
    </row>
    <row r="23" spans="1:16" x14ac:dyDescent="0.3">
      <c r="A23" s="6">
        <v>10021</v>
      </c>
      <c r="B23" s="3" t="s">
        <v>845</v>
      </c>
      <c r="C23" s="3" t="s">
        <v>846</v>
      </c>
      <c r="D23" s="3" t="s">
        <v>847</v>
      </c>
      <c r="E23" s="3" t="s">
        <v>317</v>
      </c>
      <c r="F23" s="3" t="s">
        <v>58</v>
      </c>
      <c r="G23" s="3" t="s">
        <v>21</v>
      </c>
      <c r="H23" s="3" t="s">
        <v>22</v>
      </c>
      <c r="I23" s="4">
        <v>3</v>
      </c>
      <c r="J23" s="4">
        <v>1197</v>
      </c>
      <c r="K23" s="4">
        <v>5</v>
      </c>
      <c r="L23" s="3" t="s">
        <v>848</v>
      </c>
      <c r="M23" s="3" t="s">
        <v>78</v>
      </c>
      <c r="N23" s="3" t="s">
        <v>70</v>
      </c>
      <c r="O23" s="3"/>
      <c r="P23" s="8">
        <v>3</v>
      </c>
    </row>
    <row r="24" spans="1:16" x14ac:dyDescent="0.3">
      <c r="A24" s="5">
        <v>10022</v>
      </c>
      <c r="B24" s="1" t="s">
        <v>1584</v>
      </c>
      <c r="C24" s="1" t="s">
        <v>1401</v>
      </c>
      <c r="D24" s="1"/>
      <c r="E24" s="1" t="s">
        <v>273</v>
      </c>
      <c r="F24" s="1" t="s">
        <v>58</v>
      </c>
      <c r="G24" s="1" t="s">
        <v>411</v>
      </c>
      <c r="H24" s="1" t="s">
        <v>83</v>
      </c>
      <c r="I24" s="2">
        <v>4</v>
      </c>
      <c r="J24" s="2">
        <v>53800</v>
      </c>
      <c r="K24" s="2">
        <v>5</v>
      </c>
      <c r="L24" s="1" t="s">
        <v>1585</v>
      </c>
      <c r="M24" s="1" t="s">
        <v>24</v>
      </c>
      <c r="N24" s="1" t="s">
        <v>33</v>
      </c>
      <c r="O24" s="1" t="s">
        <v>174</v>
      </c>
      <c r="P24" s="7"/>
    </row>
    <row r="25" spans="1:16" x14ac:dyDescent="0.3">
      <c r="A25" s="6">
        <v>10023</v>
      </c>
      <c r="B25" s="3" t="s">
        <v>1191</v>
      </c>
      <c r="C25" s="3" t="s">
        <v>1192</v>
      </c>
      <c r="D25" s="3" t="s">
        <v>1239</v>
      </c>
      <c r="E25" s="3" t="s">
        <v>308</v>
      </c>
      <c r="F25" s="3" t="s">
        <v>110</v>
      </c>
      <c r="G25" s="3" t="s">
        <v>91</v>
      </c>
      <c r="H25" s="3" t="s">
        <v>92</v>
      </c>
      <c r="I25" s="4">
        <v>2</v>
      </c>
      <c r="J25" s="4">
        <v>2596</v>
      </c>
      <c r="K25" s="4">
        <v>10</v>
      </c>
      <c r="L25" s="3" t="s">
        <v>1240</v>
      </c>
      <c r="M25" s="3" t="s">
        <v>24</v>
      </c>
      <c r="N25" s="3" t="s">
        <v>25</v>
      </c>
      <c r="O25" s="3" t="s">
        <v>174</v>
      </c>
      <c r="P25" s="8">
        <v>2</v>
      </c>
    </row>
    <row r="26" spans="1:16" x14ac:dyDescent="0.3">
      <c r="A26" s="6">
        <v>10024</v>
      </c>
      <c r="B26" s="3" t="s">
        <v>451</v>
      </c>
      <c r="C26" s="3" t="s">
        <v>87</v>
      </c>
      <c r="D26" s="3" t="s">
        <v>452</v>
      </c>
      <c r="E26" s="3" t="s">
        <v>445</v>
      </c>
      <c r="F26" s="3" t="s">
        <v>453</v>
      </c>
      <c r="G26" s="3" t="s">
        <v>454</v>
      </c>
      <c r="H26" s="3" t="s">
        <v>83</v>
      </c>
      <c r="I26" s="4">
        <v>1</v>
      </c>
      <c r="J26" s="4">
        <v>1789</v>
      </c>
      <c r="K26" s="4"/>
      <c r="L26" s="3" t="s">
        <v>455</v>
      </c>
      <c r="M26" s="3" t="s">
        <v>157</v>
      </c>
      <c r="N26" s="3" t="s">
        <v>456</v>
      </c>
      <c r="O26" s="3" t="s">
        <v>71</v>
      </c>
      <c r="P26" s="8">
        <v>2</v>
      </c>
    </row>
    <row r="27" spans="1:16" x14ac:dyDescent="0.3">
      <c r="A27" s="5">
        <v>10025</v>
      </c>
      <c r="B27" s="1" t="s">
        <v>356</v>
      </c>
      <c r="C27" s="1" t="s">
        <v>357</v>
      </c>
      <c r="D27" s="1" t="s">
        <v>358</v>
      </c>
      <c r="E27" s="1" t="s">
        <v>74</v>
      </c>
      <c r="F27" s="1" t="s">
        <v>75</v>
      </c>
      <c r="G27" s="1" t="s">
        <v>106</v>
      </c>
      <c r="H27" s="1" t="s">
        <v>83</v>
      </c>
      <c r="I27" s="2">
        <v>2</v>
      </c>
      <c r="J27" s="2">
        <v>5729</v>
      </c>
      <c r="K27" s="2">
        <v>10</v>
      </c>
      <c r="L27" s="1" t="s">
        <v>359</v>
      </c>
      <c r="M27" s="1" t="s">
        <v>24</v>
      </c>
      <c r="N27" s="1" t="s">
        <v>70</v>
      </c>
      <c r="O27" s="1"/>
      <c r="P27" s="7">
        <v>1</v>
      </c>
    </row>
    <row r="28" spans="1:16" x14ac:dyDescent="0.3">
      <c r="A28" s="5">
        <v>10026</v>
      </c>
      <c r="B28" s="1" t="s">
        <v>86</v>
      </c>
      <c r="C28" s="1" t="s">
        <v>87</v>
      </c>
      <c r="D28" s="1" t="s">
        <v>88</v>
      </c>
      <c r="E28" s="1" t="s">
        <v>89</v>
      </c>
      <c r="F28" s="1" t="s">
        <v>90</v>
      </c>
      <c r="G28" s="1" t="s">
        <v>91</v>
      </c>
      <c r="H28" s="1" t="s">
        <v>92</v>
      </c>
      <c r="I28" s="2">
        <v>5</v>
      </c>
      <c r="J28" s="2">
        <v>3157</v>
      </c>
      <c r="K28" s="2"/>
      <c r="L28" s="1" t="s">
        <v>93</v>
      </c>
      <c r="M28" s="1" t="s">
        <v>94</v>
      </c>
      <c r="N28" s="1" t="s">
        <v>25</v>
      </c>
      <c r="O28" s="1" t="s">
        <v>71</v>
      </c>
      <c r="P28" s="7">
        <v>4</v>
      </c>
    </row>
    <row r="29" spans="1:16" x14ac:dyDescent="0.3">
      <c r="A29" s="5">
        <v>10027</v>
      </c>
      <c r="B29" s="1" t="s">
        <v>267</v>
      </c>
      <c r="C29" s="1" t="s">
        <v>87</v>
      </c>
      <c r="D29" s="1" t="s">
        <v>268</v>
      </c>
      <c r="E29" s="1" t="s">
        <v>269</v>
      </c>
      <c r="F29" s="1" t="s">
        <v>191</v>
      </c>
      <c r="G29" s="1" t="s">
        <v>99</v>
      </c>
      <c r="H29" s="1" t="s">
        <v>92</v>
      </c>
      <c r="I29" s="2">
        <v>3</v>
      </c>
      <c r="J29" s="2">
        <v>4571</v>
      </c>
      <c r="K29" s="2"/>
      <c r="L29" s="1" t="s">
        <v>270</v>
      </c>
      <c r="M29" s="1" t="s">
        <v>186</v>
      </c>
      <c r="N29" s="1" t="s">
        <v>25</v>
      </c>
      <c r="O29" s="1" t="s">
        <v>71</v>
      </c>
      <c r="P29" s="7"/>
    </row>
    <row r="30" spans="1:16" x14ac:dyDescent="0.3">
      <c r="A30" s="5">
        <v>10028</v>
      </c>
      <c r="B30" s="1" t="s">
        <v>295</v>
      </c>
      <c r="C30" s="1" t="s">
        <v>134</v>
      </c>
      <c r="D30" s="1" t="s">
        <v>933</v>
      </c>
      <c r="E30" s="1" t="s">
        <v>184</v>
      </c>
      <c r="F30" s="1" t="s">
        <v>75</v>
      </c>
      <c r="G30" s="1" t="s">
        <v>493</v>
      </c>
      <c r="H30" s="1" t="s">
        <v>92</v>
      </c>
      <c r="I30" s="2">
        <v>4</v>
      </c>
      <c r="J30" s="2">
        <v>655</v>
      </c>
      <c r="K30" s="2"/>
      <c r="L30" s="1" t="s">
        <v>731</v>
      </c>
      <c r="M30" s="1" t="s">
        <v>78</v>
      </c>
      <c r="N30" s="1" t="s">
        <v>70</v>
      </c>
      <c r="O30" s="1" t="s">
        <v>45</v>
      </c>
      <c r="P30" s="7">
        <v>1</v>
      </c>
    </row>
    <row r="31" spans="1:16" x14ac:dyDescent="0.3">
      <c r="A31" s="6">
        <v>10029</v>
      </c>
      <c r="B31" s="3" t="s">
        <v>598</v>
      </c>
      <c r="C31" s="3" t="s">
        <v>599</v>
      </c>
      <c r="D31" s="3" t="s">
        <v>600</v>
      </c>
      <c r="E31" s="3" t="s">
        <v>317</v>
      </c>
      <c r="F31" s="3" t="s">
        <v>362</v>
      </c>
      <c r="G31" s="3" t="s">
        <v>601</v>
      </c>
      <c r="H31" s="3" t="s">
        <v>22</v>
      </c>
      <c r="I31" s="4">
        <v>5</v>
      </c>
      <c r="J31" s="4">
        <v>609</v>
      </c>
      <c r="K31" s="4">
        <v>20</v>
      </c>
      <c r="L31" s="3" t="s">
        <v>602</v>
      </c>
      <c r="M31" s="3" t="s">
        <v>85</v>
      </c>
      <c r="N31" s="3" t="s">
        <v>25</v>
      </c>
      <c r="O31" s="3" t="s">
        <v>34</v>
      </c>
      <c r="P31" s="8"/>
    </row>
    <row r="32" spans="1:16" x14ac:dyDescent="0.3">
      <c r="A32" s="6">
        <v>10030</v>
      </c>
      <c r="B32" s="3" t="s">
        <v>462</v>
      </c>
      <c r="C32" s="3" t="s">
        <v>463</v>
      </c>
      <c r="D32" s="3" t="s">
        <v>464</v>
      </c>
      <c r="E32" s="3" t="s">
        <v>269</v>
      </c>
      <c r="F32" s="3" t="s">
        <v>191</v>
      </c>
      <c r="G32" s="3" t="s">
        <v>167</v>
      </c>
      <c r="H32" s="3" t="s">
        <v>143</v>
      </c>
      <c r="I32" s="4">
        <v>2</v>
      </c>
      <c r="J32" s="4">
        <v>438</v>
      </c>
      <c r="K32" s="4">
        <v>0</v>
      </c>
      <c r="L32" s="3" t="s">
        <v>465</v>
      </c>
      <c r="M32" s="3" t="s">
        <v>78</v>
      </c>
      <c r="N32" s="3" t="s">
        <v>25</v>
      </c>
      <c r="O32" s="3" t="s">
        <v>34</v>
      </c>
      <c r="P32" s="8"/>
    </row>
    <row r="33" spans="1:16" x14ac:dyDescent="0.3">
      <c r="A33" s="5">
        <v>10031</v>
      </c>
      <c r="B33" s="1" t="s">
        <v>594</v>
      </c>
      <c r="C33" s="1" t="s">
        <v>502</v>
      </c>
      <c r="D33" s="1" t="s">
        <v>781</v>
      </c>
      <c r="E33" s="1" t="s">
        <v>123</v>
      </c>
      <c r="F33" s="1" t="s">
        <v>563</v>
      </c>
      <c r="G33" s="1" t="s">
        <v>136</v>
      </c>
      <c r="H33" s="1" t="s">
        <v>22</v>
      </c>
      <c r="I33" s="2">
        <v>1</v>
      </c>
      <c r="J33" s="2">
        <v>740</v>
      </c>
      <c r="K33" s="2">
        <v>20</v>
      </c>
      <c r="L33" s="1" t="s">
        <v>534</v>
      </c>
      <c r="M33" s="1" t="s">
        <v>78</v>
      </c>
      <c r="N33" s="1" t="s">
        <v>25</v>
      </c>
      <c r="O33" s="1" t="s">
        <v>174</v>
      </c>
      <c r="P33" s="7">
        <v>2</v>
      </c>
    </row>
    <row r="34" spans="1:16" x14ac:dyDescent="0.3">
      <c r="A34" s="5">
        <v>10032</v>
      </c>
      <c r="B34" s="1" t="s">
        <v>1130</v>
      </c>
      <c r="C34" s="1" t="s">
        <v>224</v>
      </c>
      <c r="D34" s="1" t="s">
        <v>1131</v>
      </c>
      <c r="E34" s="1" t="s">
        <v>241</v>
      </c>
      <c r="F34" s="1" t="s">
        <v>50</v>
      </c>
      <c r="G34" s="1" t="s">
        <v>82</v>
      </c>
      <c r="H34" s="1" t="s">
        <v>83</v>
      </c>
      <c r="I34" s="2">
        <v>5</v>
      </c>
      <c r="J34" s="2">
        <v>46871</v>
      </c>
      <c r="K34" s="2">
        <v>0</v>
      </c>
      <c r="L34" s="1" t="s">
        <v>1132</v>
      </c>
      <c r="M34" s="1" t="s">
        <v>43</v>
      </c>
      <c r="N34" s="1" t="s">
        <v>44</v>
      </c>
      <c r="O34" s="1" t="s">
        <v>53</v>
      </c>
      <c r="P34" s="7"/>
    </row>
    <row r="35" spans="1:16" x14ac:dyDescent="0.3">
      <c r="A35" s="5">
        <v>10033</v>
      </c>
      <c r="B35" s="1" t="s">
        <v>527</v>
      </c>
      <c r="C35" s="1" t="s">
        <v>515</v>
      </c>
      <c r="D35" s="1" t="s">
        <v>528</v>
      </c>
      <c r="E35" s="1" t="s">
        <v>445</v>
      </c>
      <c r="F35" s="1" t="s">
        <v>453</v>
      </c>
      <c r="G35" s="1" t="s">
        <v>454</v>
      </c>
      <c r="H35" s="1" t="s">
        <v>83</v>
      </c>
      <c r="I35" s="2">
        <v>2</v>
      </c>
      <c r="J35" s="2">
        <v>1541</v>
      </c>
      <c r="K35" s="2">
        <v>20</v>
      </c>
      <c r="L35" s="1" t="s">
        <v>529</v>
      </c>
      <c r="M35" s="1" t="s">
        <v>78</v>
      </c>
      <c r="N35" s="1" t="s">
        <v>25</v>
      </c>
      <c r="O35" s="1" t="s">
        <v>53</v>
      </c>
      <c r="P35" s="7">
        <v>2</v>
      </c>
    </row>
    <row r="36" spans="1:16" x14ac:dyDescent="0.3">
      <c r="A36" s="5">
        <v>10034</v>
      </c>
      <c r="B36" s="1" t="s">
        <v>1504</v>
      </c>
      <c r="C36" s="1" t="s">
        <v>1283</v>
      </c>
      <c r="D36" s="1"/>
      <c r="E36" s="1" t="s">
        <v>543</v>
      </c>
      <c r="F36" s="1" t="s">
        <v>429</v>
      </c>
      <c r="G36" s="1" t="s">
        <v>1095</v>
      </c>
      <c r="H36" s="1" t="s">
        <v>143</v>
      </c>
      <c r="I36" s="2">
        <v>3</v>
      </c>
      <c r="J36" s="2">
        <v>473</v>
      </c>
      <c r="K36" s="2">
        <v>0</v>
      </c>
      <c r="L36" s="1" t="s">
        <v>1505</v>
      </c>
      <c r="M36" s="1" t="s">
        <v>24</v>
      </c>
      <c r="N36" s="1" t="s">
        <v>25</v>
      </c>
      <c r="O36" s="1"/>
      <c r="P36" s="7">
        <v>1</v>
      </c>
    </row>
    <row r="37" spans="1:16" x14ac:dyDescent="0.3">
      <c r="A37" s="6">
        <v>10035</v>
      </c>
      <c r="B37" s="3" t="s">
        <v>490</v>
      </c>
      <c r="C37" s="3" t="s">
        <v>491</v>
      </c>
      <c r="D37" s="3" t="s">
        <v>492</v>
      </c>
      <c r="E37" s="3" t="s">
        <v>172</v>
      </c>
      <c r="F37" s="3" t="s">
        <v>150</v>
      </c>
      <c r="G37" s="3" t="s">
        <v>493</v>
      </c>
      <c r="H37" s="3" t="s">
        <v>92</v>
      </c>
      <c r="I37" s="4">
        <v>5</v>
      </c>
      <c r="J37" s="4">
        <v>715</v>
      </c>
      <c r="K37" s="4">
        <v>5</v>
      </c>
      <c r="L37" s="3" t="s">
        <v>494</v>
      </c>
      <c r="M37" s="3" t="s">
        <v>78</v>
      </c>
      <c r="N37" s="3" t="s">
        <v>33</v>
      </c>
      <c r="O37" s="3" t="s">
        <v>53</v>
      </c>
      <c r="P37" s="8">
        <v>3</v>
      </c>
    </row>
    <row r="38" spans="1:16" x14ac:dyDescent="0.3">
      <c r="A38" s="5">
        <v>10036</v>
      </c>
      <c r="B38" s="1" t="s">
        <v>795</v>
      </c>
      <c r="C38" s="1" t="s">
        <v>207</v>
      </c>
      <c r="D38" s="1" t="s">
        <v>966</v>
      </c>
      <c r="E38" s="1" t="s">
        <v>104</v>
      </c>
      <c r="F38" s="1" t="s">
        <v>876</v>
      </c>
      <c r="G38" s="1" t="s">
        <v>397</v>
      </c>
      <c r="H38" s="1" t="s">
        <v>143</v>
      </c>
      <c r="I38" s="2">
        <v>3</v>
      </c>
      <c r="J38" s="2">
        <v>415</v>
      </c>
      <c r="K38" s="2">
        <v>15</v>
      </c>
      <c r="L38" s="1" t="s">
        <v>967</v>
      </c>
      <c r="M38" s="1" t="s">
        <v>78</v>
      </c>
      <c r="N38" s="1" t="s">
        <v>25</v>
      </c>
      <c r="O38" s="1" t="s">
        <v>45</v>
      </c>
      <c r="P38" s="7">
        <v>5</v>
      </c>
    </row>
    <row r="39" spans="1:16" x14ac:dyDescent="0.3">
      <c r="A39" s="6">
        <v>10037</v>
      </c>
      <c r="B39" s="3" t="s">
        <v>442</v>
      </c>
      <c r="C39" s="3" t="s">
        <v>443</v>
      </c>
      <c r="D39" s="3" t="s">
        <v>444</v>
      </c>
      <c r="E39" s="3" t="s">
        <v>445</v>
      </c>
      <c r="F39" s="3" t="s">
        <v>39</v>
      </c>
      <c r="G39" s="3" t="s">
        <v>155</v>
      </c>
      <c r="H39" s="3" t="s">
        <v>92</v>
      </c>
      <c r="I39" s="4">
        <v>3</v>
      </c>
      <c r="J39" s="4">
        <v>1432</v>
      </c>
      <c r="K39" s="4"/>
      <c r="L39" s="3" t="s">
        <v>446</v>
      </c>
      <c r="M39" s="3" t="s">
        <v>186</v>
      </c>
      <c r="N39" s="3" t="s">
        <v>25</v>
      </c>
      <c r="O39" s="3" t="s">
        <v>53</v>
      </c>
      <c r="P39" s="8"/>
    </row>
    <row r="40" spans="1:16" x14ac:dyDescent="0.3">
      <c r="A40" s="5">
        <v>10038</v>
      </c>
      <c r="B40" s="1" t="s">
        <v>722</v>
      </c>
      <c r="C40" s="1" t="s">
        <v>458</v>
      </c>
      <c r="D40" s="1" t="s">
        <v>815</v>
      </c>
      <c r="E40" s="1" t="s">
        <v>391</v>
      </c>
      <c r="F40" s="1" t="s">
        <v>30</v>
      </c>
      <c r="G40" s="1" t="s">
        <v>816</v>
      </c>
      <c r="H40" s="1" t="s">
        <v>83</v>
      </c>
      <c r="I40" s="2">
        <v>2</v>
      </c>
      <c r="J40" s="2">
        <v>56284</v>
      </c>
      <c r="K40" s="2">
        <v>20</v>
      </c>
      <c r="L40" s="1" t="s">
        <v>817</v>
      </c>
      <c r="M40" s="1" t="s">
        <v>24</v>
      </c>
      <c r="N40" s="1" t="s">
        <v>25</v>
      </c>
      <c r="O40" s="1" t="s">
        <v>53</v>
      </c>
      <c r="P40" s="7">
        <v>1</v>
      </c>
    </row>
    <row r="41" spans="1:16" x14ac:dyDescent="0.3">
      <c r="A41" s="5">
        <v>10039</v>
      </c>
      <c r="B41" s="1" t="s">
        <v>457</v>
      </c>
      <c r="C41" s="1" t="s">
        <v>458</v>
      </c>
      <c r="D41" s="1" t="s">
        <v>459</v>
      </c>
      <c r="E41" s="1" t="s">
        <v>57</v>
      </c>
      <c r="F41" s="1" t="s">
        <v>20</v>
      </c>
      <c r="G41" s="1" t="s">
        <v>460</v>
      </c>
      <c r="H41" s="1" t="s">
        <v>92</v>
      </c>
      <c r="I41" s="2">
        <v>2</v>
      </c>
      <c r="J41" s="2">
        <v>864</v>
      </c>
      <c r="K41" s="2">
        <v>5</v>
      </c>
      <c r="L41" s="1" t="s">
        <v>461</v>
      </c>
      <c r="M41" s="1" t="s">
        <v>145</v>
      </c>
      <c r="N41" s="1" t="s">
        <v>108</v>
      </c>
      <c r="O41" s="1" t="s">
        <v>71</v>
      </c>
      <c r="P41" s="7">
        <v>2</v>
      </c>
    </row>
    <row r="42" spans="1:16" x14ac:dyDescent="0.3">
      <c r="A42" s="6">
        <v>10040</v>
      </c>
      <c r="B42" s="3" t="s">
        <v>589</v>
      </c>
      <c r="C42" s="3" t="s">
        <v>590</v>
      </c>
      <c r="D42" s="3" t="s">
        <v>591</v>
      </c>
      <c r="E42" s="3" t="s">
        <v>592</v>
      </c>
      <c r="F42" s="3" t="s">
        <v>362</v>
      </c>
      <c r="G42" s="3" t="s">
        <v>151</v>
      </c>
      <c r="H42" s="3" t="s">
        <v>143</v>
      </c>
      <c r="I42" s="4">
        <v>4</v>
      </c>
      <c r="J42" s="4">
        <v>385</v>
      </c>
      <c r="K42" s="4">
        <v>20</v>
      </c>
      <c r="L42" s="3" t="s">
        <v>593</v>
      </c>
      <c r="M42" s="3" t="s">
        <v>69</v>
      </c>
      <c r="N42" s="3" t="s">
        <v>25</v>
      </c>
      <c r="O42" s="3" t="s">
        <v>53</v>
      </c>
      <c r="P42" s="8">
        <v>3</v>
      </c>
    </row>
    <row r="43" spans="1:16" x14ac:dyDescent="0.3">
      <c r="A43" s="5">
        <v>10041</v>
      </c>
      <c r="B43" s="1" t="s">
        <v>749</v>
      </c>
      <c r="C43" s="1" t="s">
        <v>750</v>
      </c>
      <c r="D43" s="1" t="s">
        <v>1153</v>
      </c>
      <c r="E43" s="1" t="s">
        <v>371</v>
      </c>
      <c r="F43" s="1" t="s">
        <v>98</v>
      </c>
      <c r="G43" s="1" t="s">
        <v>242</v>
      </c>
      <c r="H43" s="1" t="s">
        <v>83</v>
      </c>
      <c r="I43" s="2">
        <v>5</v>
      </c>
      <c r="J43" s="2">
        <v>21850</v>
      </c>
      <c r="K43" s="2">
        <v>10</v>
      </c>
      <c r="L43" s="1" t="s">
        <v>1154</v>
      </c>
      <c r="M43" s="1" t="s">
        <v>43</v>
      </c>
      <c r="N43" s="1" t="s">
        <v>70</v>
      </c>
      <c r="O43" s="1"/>
      <c r="P43" s="7"/>
    </row>
    <row r="44" spans="1:16" x14ac:dyDescent="0.3">
      <c r="A44" s="6">
        <v>10042</v>
      </c>
      <c r="B44" s="3" t="s">
        <v>1196</v>
      </c>
      <c r="C44" s="3" t="s">
        <v>115</v>
      </c>
      <c r="D44" s="3" t="s">
        <v>1197</v>
      </c>
      <c r="E44" s="3" t="s">
        <v>236</v>
      </c>
      <c r="F44" s="3" t="s">
        <v>150</v>
      </c>
      <c r="G44" s="3" t="s">
        <v>478</v>
      </c>
      <c r="H44" s="3" t="s">
        <v>83</v>
      </c>
      <c r="I44" s="4">
        <v>5</v>
      </c>
      <c r="J44" s="4">
        <v>64886</v>
      </c>
      <c r="K44" s="4">
        <v>0</v>
      </c>
      <c r="L44" s="3" t="s">
        <v>1198</v>
      </c>
      <c r="M44" s="3" t="s">
        <v>32</v>
      </c>
      <c r="N44" s="3" t="s">
        <v>25</v>
      </c>
      <c r="O44" s="3" t="s">
        <v>71</v>
      </c>
      <c r="P44" s="8">
        <v>4</v>
      </c>
    </row>
    <row r="45" spans="1:16" x14ac:dyDescent="0.3">
      <c r="A45" s="5">
        <v>10043</v>
      </c>
      <c r="B45" s="1" t="s">
        <v>555</v>
      </c>
      <c r="C45" s="1" t="s">
        <v>556</v>
      </c>
      <c r="D45" s="1" t="s">
        <v>557</v>
      </c>
      <c r="E45" s="1" t="s">
        <v>558</v>
      </c>
      <c r="F45" s="1" t="s">
        <v>191</v>
      </c>
      <c r="G45" s="1" t="s">
        <v>231</v>
      </c>
      <c r="H45" s="1" t="s">
        <v>83</v>
      </c>
      <c r="I45" s="2">
        <v>3</v>
      </c>
      <c r="J45" s="2">
        <v>2259</v>
      </c>
      <c r="K45" s="2">
        <v>0</v>
      </c>
      <c r="L45" s="1" t="s">
        <v>559</v>
      </c>
      <c r="M45" s="1" t="s">
        <v>560</v>
      </c>
      <c r="N45" s="1" t="s">
        <v>25</v>
      </c>
      <c r="O45" s="1" t="s">
        <v>174</v>
      </c>
      <c r="P45" s="7">
        <v>4</v>
      </c>
    </row>
    <row r="46" spans="1:16" x14ac:dyDescent="0.3">
      <c r="A46" s="5">
        <v>10044</v>
      </c>
      <c r="B46" s="1" t="s">
        <v>431</v>
      </c>
      <c r="C46" s="1" t="s">
        <v>432</v>
      </c>
      <c r="D46" s="1" t="s">
        <v>433</v>
      </c>
      <c r="E46" s="1" t="s">
        <v>343</v>
      </c>
      <c r="F46" s="1" t="s">
        <v>20</v>
      </c>
      <c r="G46" s="1" t="s">
        <v>161</v>
      </c>
      <c r="H46" s="1" t="s">
        <v>83</v>
      </c>
      <c r="I46" s="2">
        <v>3</v>
      </c>
      <c r="J46" s="2">
        <v>16077</v>
      </c>
      <c r="K46" s="2">
        <v>15</v>
      </c>
      <c r="L46" s="1" t="s">
        <v>363</v>
      </c>
      <c r="M46" s="1" t="s">
        <v>85</v>
      </c>
      <c r="N46" s="1" t="s">
        <v>33</v>
      </c>
      <c r="O46" s="1" t="s">
        <v>34</v>
      </c>
      <c r="P46" s="7">
        <v>2</v>
      </c>
    </row>
    <row r="47" spans="1:16" x14ac:dyDescent="0.3">
      <c r="A47" s="5">
        <v>10045</v>
      </c>
      <c r="B47" s="1" t="s">
        <v>1043</v>
      </c>
      <c r="C47" s="1" t="s">
        <v>693</v>
      </c>
      <c r="D47" s="1" t="s">
        <v>1044</v>
      </c>
      <c r="E47" s="1" t="s">
        <v>572</v>
      </c>
      <c r="F47" s="1" t="s">
        <v>20</v>
      </c>
      <c r="G47" s="1" t="s">
        <v>285</v>
      </c>
      <c r="H47" s="1" t="s">
        <v>92</v>
      </c>
      <c r="I47" s="2">
        <v>3</v>
      </c>
      <c r="J47" s="2">
        <v>1068</v>
      </c>
      <c r="K47" s="2">
        <v>0</v>
      </c>
      <c r="L47" s="1" t="s">
        <v>1045</v>
      </c>
      <c r="M47" s="1" t="s">
        <v>94</v>
      </c>
      <c r="N47" s="1" t="s">
        <v>25</v>
      </c>
      <c r="O47" s="1" t="s">
        <v>53</v>
      </c>
      <c r="P47" s="7"/>
    </row>
    <row r="48" spans="1:16" x14ac:dyDescent="0.3">
      <c r="A48" s="6">
        <v>10046</v>
      </c>
      <c r="B48" s="3" t="s">
        <v>1445</v>
      </c>
      <c r="C48" s="3" t="s">
        <v>1446</v>
      </c>
      <c r="D48" s="3"/>
      <c r="E48" s="3" t="s">
        <v>154</v>
      </c>
      <c r="F48" s="3" t="s">
        <v>98</v>
      </c>
      <c r="G48" s="3" t="s">
        <v>151</v>
      </c>
      <c r="H48" s="3" t="s">
        <v>143</v>
      </c>
      <c r="I48" s="4">
        <v>5</v>
      </c>
      <c r="J48" s="4">
        <v>322</v>
      </c>
      <c r="K48" s="4"/>
      <c r="L48" s="3" t="s">
        <v>1447</v>
      </c>
      <c r="M48" s="3" t="s">
        <v>157</v>
      </c>
      <c r="N48" s="3" t="s">
        <v>25</v>
      </c>
      <c r="O48" s="3"/>
      <c r="P48" s="8">
        <v>5</v>
      </c>
    </row>
    <row r="49" spans="1:16" x14ac:dyDescent="0.3">
      <c r="A49" s="6">
        <v>10047</v>
      </c>
      <c r="B49" s="3" t="s">
        <v>818</v>
      </c>
      <c r="C49" s="3" t="s">
        <v>819</v>
      </c>
      <c r="D49" s="3" t="s">
        <v>820</v>
      </c>
      <c r="E49" s="3" t="s">
        <v>57</v>
      </c>
      <c r="F49" s="3" t="s">
        <v>50</v>
      </c>
      <c r="G49" s="3" t="s">
        <v>167</v>
      </c>
      <c r="H49" s="3" t="s">
        <v>143</v>
      </c>
      <c r="I49" s="4">
        <v>2</v>
      </c>
      <c r="J49" s="4">
        <v>303</v>
      </c>
      <c r="K49" s="4"/>
      <c r="L49" s="3" t="s">
        <v>821</v>
      </c>
      <c r="M49" s="3" t="s">
        <v>43</v>
      </c>
      <c r="N49" s="3" t="s">
        <v>25</v>
      </c>
      <c r="O49" s="3" t="s">
        <v>45</v>
      </c>
      <c r="P49" s="8"/>
    </row>
    <row r="50" spans="1:16" x14ac:dyDescent="0.3">
      <c r="A50" s="6">
        <v>10048</v>
      </c>
      <c r="B50" s="3" t="s">
        <v>552</v>
      </c>
      <c r="C50" s="3"/>
      <c r="D50" s="3" t="s">
        <v>553</v>
      </c>
      <c r="E50" s="3" t="s">
        <v>219</v>
      </c>
      <c r="F50" s="3" t="s">
        <v>66</v>
      </c>
      <c r="G50" s="3" t="s">
        <v>106</v>
      </c>
      <c r="H50" s="3" t="s">
        <v>83</v>
      </c>
      <c r="I50" s="4">
        <v>1</v>
      </c>
      <c r="J50" s="4">
        <v>7111</v>
      </c>
      <c r="K50" s="4">
        <v>15</v>
      </c>
      <c r="L50" s="3" t="s">
        <v>554</v>
      </c>
      <c r="M50" s="3" t="s">
        <v>78</v>
      </c>
      <c r="N50" s="3" t="s">
        <v>70</v>
      </c>
      <c r="O50" s="3" t="s">
        <v>53</v>
      </c>
      <c r="P50" s="8">
        <v>2</v>
      </c>
    </row>
    <row r="51" spans="1:16" x14ac:dyDescent="0.3">
      <c r="A51" s="5">
        <v>10049</v>
      </c>
      <c r="B51" s="1" t="s">
        <v>1171</v>
      </c>
      <c r="C51" s="1" t="s">
        <v>829</v>
      </c>
      <c r="D51" s="1" t="s">
        <v>1172</v>
      </c>
      <c r="E51" s="1" t="s">
        <v>677</v>
      </c>
      <c r="F51" s="1" t="s">
        <v>220</v>
      </c>
      <c r="G51" s="1" t="s">
        <v>231</v>
      </c>
      <c r="H51" s="1" t="s">
        <v>83</v>
      </c>
      <c r="I51" s="2">
        <v>4</v>
      </c>
      <c r="J51" s="2">
        <v>3579</v>
      </c>
      <c r="K51" s="2">
        <v>15</v>
      </c>
      <c r="L51" s="1" t="s">
        <v>1173</v>
      </c>
      <c r="M51" s="1" t="s">
        <v>69</v>
      </c>
      <c r="N51" s="1" t="s">
        <v>70</v>
      </c>
      <c r="O51" s="1" t="s">
        <v>45</v>
      </c>
      <c r="P51" s="7">
        <v>1</v>
      </c>
    </row>
    <row r="52" spans="1:16" x14ac:dyDescent="0.3">
      <c r="A52" s="6">
        <v>10050</v>
      </c>
      <c r="B52" s="3" t="s">
        <v>621</v>
      </c>
      <c r="C52" s="3" t="s">
        <v>622</v>
      </c>
      <c r="D52" s="3" t="s">
        <v>623</v>
      </c>
      <c r="E52" s="3" t="s">
        <v>343</v>
      </c>
      <c r="F52" s="3" t="s">
        <v>58</v>
      </c>
      <c r="G52" s="3" t="s">
        <v>204</v>
      </c>
      <c r="H52" s="3" t="s">
        <v>143</v>
      </c>
      <c r="I52" s="4">
        <v>2</v>
      </c>
      <c r="J52" s="4">
        <v>477</v>
      </c>
      <c r="K52" s="4">
        <v>20</v>
      </c>
      <c r="L52" s="3" t="s">
        <v>624</v>
      </c>
      <c r="M52" s="3" t="s">
        <v>43</v>
      </c>
      <c r="N52" s="3" t="s">
        <v>25</v>
      </c>
      <c r="O52" s="3" t="s">
        <v>71</v>
      </c>
      <c r="P52" s="8"/>
    </row>
    <row r="53" spans="1:16" x14ac:dyDescent="0.3">
      <c r="A53" s="6">
        <v>10051</v>
      </c>
      <c r="B53" s="3" t="s">
        <v>661</v>
      </c>
      <c r="C53" s="3" t="s">
        <v>662</v>
      </c>
      <c r="D53" s="3" t="s">
        <v>663</v>
      </c>
      <c r="E53" s="3" t="s">
        <v>308</v>
      </c>
      <c r="F53" s="3" t="s">
        <v>117</v>
      </c>
      <c r="G53" s="3" t="s">
        <v>131</v>
      </c>
      <c r="H53" s="3" t="s">
        <v>92</v>
      </c>
      <c r="I53" s="4">
        <v>5</v>
      </c>
      <c r="J53" s="4">
        <v>4644</v>
      </c>
      <c r="K53" s="4">
        <v>0</v>
      </c>
      <c r="L53" s="3" t="s">
        <v>664</v>
      </c>
      <c r="M53" s="3" t="s">
        <v>186</v>
      </c>
      <c r="N53" s="3" t="s">
        <v>119</v>
      </c>
      <c r="O53" s="3" t="s">
        <v>45</v>
      </c>
      <c r="P53" s="8">
        <v>4</v>
      </c>
    </row>
    <row r="54" spans="1:16" x14ac:dyDescent="0.3">
      <c r="A54" s="6">
        <v>10052</v>
      </c>
      <c r="B54" s="3" t="s">
        <v>1142</v>
      </c>
      <c r="C54" s="3" t="s">
        <v>645</v>
      </c>
      <c r="D54" s="3" t="s">
        <v>1543</v>
      </c>
      <c r="E54" s="3" t="s">
        <v>401</v>
      </c>
      <c r="F54" s="3" t="s">
        <v>274</v>
      </c>
      <c r="G54" s="3" t="s">
        <v>151</v>
      </c>
      <c r="H54" s="3" t="s">
        <v>143</v>
      </c>
      <c r="I54" s="4">
        <v>3</v>
      </c>
      <c r="J54" s="4">
        <v>825</v>
      </c>
      <c r="K54" s="4"/>
      <c r="L54" s="3" t="s">
        <v>1544</v>
      </c>
      <c r="M54" s="3" t="s">
        <v>78</v>
      </c>
      <c r="N54" s="3" t="s">
        <v>70</v>
      </c>
      <c r="O54" s="3"/>
      <c r="P54" s="8">
        <v>5</v>
      </c>
    </row>
    <row r="55" spans="1:16" x14ac:dyDescent="0.3">
      <c r="A55" s="5">
        <v>10053</v>
      </c>
      <c r="B55" s="1" t="s">
        <v>388</v>
      </c>
      <c r="C55" s="1" t="s">
        <v>389</v>
      </c>
      <c r="D55" s="1" t="s">
        <v>390</v>
      </c>
      <c r="E55" s="1" t="s">
        <v>391</v>
      </c>
      <c r="F55" s="1" t="s">
        <v>392</v>
      </c>
      <c r="G55" s="1" t="s">
        <v>303</v>
      </c>
      <c r="H55" s="1" t="s">
        <v>60</v>
      </c>
      <c r="I55" s="2">
        <v>4</v>
      </c>
      <c r="J55" s="2">
        <v>787</v>
      </c>
      <c r="K55" s="2">
        <v>20</v>
      </c>
      <c r="L55" s="1" t="s">
        <v>393</v>
      </c>
      <c r="M55" s="1" t="s">
        <v>78</v>
      </c>
      <c r="N55" s="1" t="s">
        <v>25</v>
      </c>
      <c r="O55" s="1" t="s">
        <v>45</v>
      </c>
      <c r="P55" s="7">
        <v>4</v>
      </c>
    </row>
    <row r="56" spans="1:16" x14ac:dyDescent="0.3">
      <c r="A56" s="5">
        <v>10054</v>
      </c>
      <c r="B56" s="1" t="s">
        <v>425</v>
      </c>
      <c r="C56" s="1" t="s">
        <v>426</v>
      </c>
      <c r="D56" s="1" t="s">
        <v>1039</v>
      </c>
      <c r="E56" s="1" t="s">
        <v>371</v>
      </c>
      <c r="F56" s="1" t="s">
        <v>98</v>
      </c>
      <c r="G56" s="1" t="s">
        <v>136</v>
      </c>
      <c r="H56" s="1" t="s">
        <v>22</v>
      </c>
      <c r="I56" s="2">
        <v>4</v>
      </c>
      <c r="J56" s="2">
        <v>948</v>
      </c>
      <c r="K56" s="2">
        <v>10</v>
      </c>
      <c r="L56" s="1" t="s">
        <v>588</v>
      </c>
      <c r="M56" s="1" t="s">
        <v>78</v>
      </c>
      <c r="N56" s="1" t="s">
        <v>25</v>
      </c>
      <c r="O56" s="1" t="s">
        <v>174</v>
      </c>
      <c r="P56" s="7">
        <v>3</v>
      </c>
    </row>
    <row r="57" spans="1:16" x14ac:dyDescent="0.3">
      <c r="A57" s="6">
        <v>10055</v>
      </c>
      <c r="B57" s="3" t="s">
        <v>1520</v>
      </c>
      <c r="C57" s="3" t="s">
        <v>346</v>
      </c>
      <c r="D57" s="3" t="s">
        <v>1521</v>
      </c>
      <c r="E57" s="3" t="s">
        <v>1522</v>
      </c>
      <c r="F57" s="3" t="s">
        <v>98</v>
      </c>
      <c r="G57" s="3" t="s">
        <v>1159</v>
      </c>
      <c r="H57" s="3" t="s">
        <v>83</v>
      </c>
      <c r="I57" s="4">
        <v>2</v>
      </c>
      <c r="J57" s="4">
        <v>5811</v>
      </c>
      <c r="K57" s="4">
        <v>15</v>
      </c>
      <c r="L57" s="3" t="s">
        <v>1523</v>
      </c>
      <c r="M57" s="3" t="s">
        <v>145</v>
      </c>
      <c r="N57" s="3" t="s">
        <v>25</v>
      </c>
      <c r="O57" s="3" t="s">
        <v>34</v>
      </c>
      <c r="P57" s="8"/>
    </row>
    <row r="58" spans="1:16" x14ac:dyDescent="0.3">
      <c r="A58" s="5">
        <v>10056</v>
      </c>
      <c r="B58" s="1" t="s">
        <v>795</v>
      </c>
      <c r="C58" s="1" t="s">
        <v>207</v>
      </c>
      <c r="D58" s="1" t="s">
        <v>1569</v>
      </c>
      <c r="E58" s="1" t="s">
        <v>615</v>
      </c>
      <c r="F58" s="1" t="s">
        <v>110</v>
      </c>
      <c r="G58" s="1" t="s">
        <v>226</v>
      </c>
      <c r="H58" s="1" t="s">
        <v>22</v>
      </c>
      <c r="I58" s="2">
        <v>1</v>
      </c>
      <c r="J58" s="2">
        <v>998</v>
      </c>
      <c r="K58" s="2">
        <v>0</v>
      </c>
      <c r="L58" s="1" t="s">
        <v>1570</v>
      </c>
      <c r="M58" s="1" t="s">
        <v>94</v>
      </c>
      <c r="N58" s="1" t="s">
        <v>70</v>
      </c>
      <c r="O58" s="1"/>
      <c r="P58" s="7"/>
    </row>
    <row r="59" spans="1:16" x14ac:dyDescent="0.3">
      <c r="A59" s="6">
        <v>10057</v>
      </c>
      <c r="B59" s="3" t="s">
        <v>1466</v>
      </c>
      <c r="C59" s="3" t="s">
        <v>1467</v>
      </c>
      <c r="D59" s="3"/>
      <c r="E59" s="3" t="s">
        <v>57</v>
      </c>
      <c r="F59" s="3" t="s">
        <v>20</v>
      </c>
      <c r="G59" s="3" t="s">
        <v>1468</v>
      </c>
      <c r="H59" s="3" t="s">
        <v>41</v>
      </c>
      <c r="I59" s="4">
        <v>1</v>
      </c>
      <c r="J59" s="4">
        <v>124</v>
      </c>
      <c r="K59" s="4">
        <v>5</v>
      </c>
      <c r="L59" s="3" t="s">
        <v>1469</v>
      </c>
      <c r="M59" s="3" t="s">
        <v>43</v>
      </c>
      <c r="N59" s="3" t="s">
        <v>70</v>
      </c>
      <c r="O59" s="3" t="s">
        <v>45</v>
      </c>
      <c r="P59" s="8">
        <v>3</v>
      </c>
    </row>
    <row r="60" spans="1:16" x14ac:dyDescent="0.3">
      <c r="A60" s="5">
        <v>10058</v>
      </c>
      <c r="B60" s="1" t="s">
        <v>1321</v>
      </c>
      <c r="C60" s="1" t="s">
        <v>1322</v>
      </c>
      <c r="D60" s="1" t="s">
        <v>1323</v>
      </c>
      <c r="E60" s="1" t="s">
        <v>1251</v>
      </c>
      <c r="F60" s="1" t="s">
        <v>453</v>
      </c>
      <c r="G60" s="1" t="s">
        <v>280</v>
      </c>
      <c r="H60" s="1" t="s">
        <v>41</v>
      </c>
      <c r="I60" s="2">
        <v>3</v>
      </c>
      <c r="J60" s="2">
        <v>186</v>
      </c>
      <c r="K60" s="2">
        <v>10</v>
      </c>
      <c r="L60" s="1" t="s">
        <v>1324</v>
      </c>
      <c r="M60" s="1" t="s">
        <v>94</v>
      </c>
      <c r="N60" s="1" t="s">
        <v>44</v>
      </c>
      <c r="O60" s="1" t="s">
        <v>71</v>
      </c>
      <c r="P60" s="7">
        <v>5</v>
      </c>
    </row>
    <row r="61" spans="1:16" x14ac:dyDescent="0.3">
      <c r="A61" s="6">
        <v>10059</v>
      </c>
      <c r="B61" s="3" t="s">
        <v>181</v>
      </c>
      <c r="C61" s="3" t="s">
        <v>182</v>
      </c>
      <c r="D61" s="3" t="s">
        <v>183</v>
      </c>
      <c r="E61" s="3" t="s">
        <v>184</v>
      </c>
      <c r="F61" s="3" t="s">
        <v>105</v>
      </c>
      <c r="G61" s="3" t="s">
        <v>21</v>
      </c>
      <c r="H61" s="3" t="s">
        <v>22</v>
      </c>
      <c r="I61" s="4">
        <v>2</v>
      </c>
      <c r="J61" s="4">
        <v>857</v>
      </c>
      <c r="K61" s="4">
        <v>20</v>
      </c>
      <c r="L61" s="3" t="s">
        <v>185</v>
      </c>
      <c r="M61" s="3" t="s">
        <v>186</v>
      </c>
      <c r="N61" s="3" t="s">
        <v>44</v>
      </c>
      <c r="O61" s="3" t="s">
        <v>34</v>
      </c>
      <c r="P61" s="8">
        <v>4</v>
      </c>
    </row>
    <row r="62" spans="1:16" x14ac:dyDescent="0.3">
      <c r="A62" s="5">
        <v>10060</v>
      </c>
      <c r="B62" s="1" t="s">
        <v>233</v>
      </c>
      <c r="C62" s="1" t="s">
        <v>760</v>
      </c>
      <c r="D62" s="1" t="s">
        <v>761</v>
      </c>
      <c r="E62" s="1" t="s">
        <v>734</v>
      </c>
      <c r="F62" s="1" t="s">
        <v>429</v>
      </c>
      <c r="G62" s="1" t="s">
        <v>179</v>
      </c>
      <c r="H62" s="1" t="s">
        <v>60</v>
      </c>
      <c r="I62" s="2">
        <v>5</v>
      </c>
      <c r="J62" s="2">
        <v>677</v>
      </c>
      <c r="K62" s="2"/>
      <c r="L62" s="1" t="s">
        <v>762</v>
      </c>
      <c r="M62" s="1" t="s">
        <v>24</v>
      </c>
      <c r="N62" s="1" t="s">
        <v>70</v>
      </c>
      <c r="O62" s="1"/>
      <c r="P62" s="7">
        <v>4</v>
      </c>
    </row>
    <row r="63" spans="1:16" x14ac:dyDescent="0.3">
      <c r="A63" s="6">
        <v>10061</v>
      </c>
      <c r="B63" s="3" t="s">
        <v>238</v>
      </c>
      <c r="C63" s="3" t="s">
        <v>239</v>
      </c>
      <c r="D63" s="3" t="s">
        <v>240</v>
      </c>
      <c r="E63" s="3" t="s">
        <v>241</v>
      </c>
      <c r="F63" s="3" t="s">
        <v>20</v>
      </c>
      <c r="G63" s="3" t="s">
        <v>242</v>
      </c>
      <c r="H63" s="3" t="s">
        <v>83</v>
      </c>
      <c r="I63" s="4">
        <v>3</v>
      </c>
      <c r="J63" s="4">
        <v>18899</v>
      </c>
      <c r="K63" s="4"/>
      <c r="L63" s="3" t="s">
        <v>243</v>
      </c>
      <c r="M63" s="3" t="s">
        <v>24</v>
      </c>
      <c r="N63" s="3" t="s">
        <v>25</v>
      </c>
      <c r="O63" s="3" t="s">
        <v>71</v>
      </c>
      <c r="P63" s="8">
        <v>5</v>
      </c>
    </row>
    <row r="64" spans="1:16" x14ac:dyDescent="0.3">
      <c r="A64" s="5">
        <v>10062</v>
      </c>
      <c r="B64" s="1" t="s">
        <v>874</v>
      </c>
      <c r="C64" s="1" t="s">
        <v>389</v>
      </c>
      <c r="D64" s="1" t="s">
        <v>875</v>
      </c>
      <c r="E64" s="1" t="s">
        <v>469</v>
      </c>
      <c r="F64" s="1" t="s">
        <v>876</v>
      </c>
      <c r="G64" s="1" t="s">
        <v>601</v>
      </c>
      <c r="H64" s="1" t="s">
        <v>22</v>
      </c>
      <c r="I64" s="2">
        <v>5</v>
      </c>
      <c r="J64" s="2">
        <v>1414</v>
      </c>
      <c r="K64" s="2">
        <v>5</v>
      </c>
      <c r="L64" s="1" t="s">
        <v>877</v>
      </c>
      <c r="M64" s="1" t="s">
        <v>69</v>
      </c>
      <c r="N64" s="1" t="s">
        <v>25</v>
      </c>
      <c r="O64" s="1" t="s">
        <v>45</v>
      </c>
      <c r="P64" s="7">
        <v>2</v>
      </c>
    </row>
    <row r="65" spans="1:16" x14ac:dyDescent="0.3">
      <c r="A65" s="6">
        <v>10063</v>
      </c>
      <c r="B65" s="3" t="s">
        <v>1093</v>
      </c>
      <c r="C65" s="3" t="s">
        <v>655</v>
      </c>
      <c r="D65" s="3" t="s">
        <v>1174</v>
      </c>
      <c r="E65" s="3" t="s">
        <v>279</v>
      </c>
      <c r="F65" s="3" t="s">
        <v>141</v>
      </c>
      <c r="G65" s="3" t="s">
        <v>984</v>
      </c>
      <c r="H65" s="3" t="s">
        <v>22</v>
      </c>
      <c r="I65" s="4">
        <v>5</v>
      </c>
      <c r="J65" s="4">
        <v>1961</v>
      </c>
      <c r="K65" s="4">
        <v>5</v>
      </c>
      <c r="L65" s="3" t="s">
        <v>1175</v>
      </c>
      <c r="M65" s="3" t="s">
        <v>94</v>
      </c>
      <c r="N65" s="3" t="s">
        <v>25</v>
      </c>
      <c r="O65" s="3" t="s">
        <v>174</v>
      </c>
      <c r="P65" s="8">
        <v>5</v>
      </c>
    </row>
    <row r="66" spans="1:16" x14ac:dyDescent="0.3">
      <c r="A66" s="6">
        <v>10064</v>
      </c>
      <c r="B66" s="3" t="s">
        <v>807</v>
      </c>
      <c r="C66" s="3" t="s">
        <v>808</v>
      </c>
      <c r="D66" s="3" t="s">
        <v>809</v>
      </c>
      <c r="E66" s="3" t="s">
        <v>57</v>
      </c>
      <c r="F66" s="3" t="s">
        <v>50</v>
      </c>
      <c r="G66" s="3" t="s">
        <v>112</v>
      </c>
      <c r="H66" s="3" t="s">
        <v>83</v>
      </c>
      <c r="I66" s="4">
        <v>5</v>
      </c>
      <c r="J66" s="4">
        <v>20466</v>
      </c>
      <c r="K66" s="4">
        <v>0</v>
      </c>
      <c r="L66" s="3" t="s">
        <v>810</v>
      </c>
      <c r="M66" s="3" t="s">
        <v>126</v>
      </c>
      <c r="N66" s="3" t="s">
        <v>119</v>
      </c>
      <c r="O66" s="3" t="s">
        <v>71</v>
      </c>
      <c r="P66" s="8">
        <v>3</v>
      </c>
    </row>
    <row r="67" spans="1:16" x14ac:dyDescent="0.3">
      <c r="A67" s="5">
        <v>10065</v>
      </c>
      <c r="B67" s="1" t="s">
        <v>335</v>
      </c>
      <c r="C67" s="1" t="s">
        <v>336</v>
      </c>
      <c r="D67" s="1" t="s">
        <v>337</v>
      </c>
      <c r="E67" s="1" t="s">
        <v>197</v>
      </c>
      <c r="F67" s="1" t="s">
        <v>191</v>
      </c>
      <c r="G67" s="1" t="s">
        <v>338</v>
      </c>
      <c r="H67" s="1" t="s">
        <v>22</v>
      </c>
      <c r="I67" s="2">
        <v>4</v>
      </c>
      <c r="J67" s="2">
        <v>2090</v>
      </c>
      <c r="K67" s="2">
        <v>0</v>
      </c>
      <c r="L67" s="1" t="s">
        <v>339</v>
      </c>
      <c r="M67" s="1" t="s">
        <v>145</v>
      </c>
      <c r="N67" s="1" t="s">
        <v>25</v>
      </c>
      <c r="O67" s="1" t="s">
        <v>53</v>
      </c>
      <c r="P67" s="7">
        <v>1</v>
      </c>
    </row>
    <row r="68" spans="1:16" x14ac:dyDescent="0.3">
      <c r="A68" s="6">
        <v>10066</v>
      </c>
      <c r="B68" s="3" t="s">
        <v>1279</v>
      </c>
      <c r="C68" s="3" t="s">
        <v>212</v>
      </c>
      <c r="D68" s="3" t="s">
        <v>1280</v>
      </c>
      <c r="E68" s="3" t="s">
        <v>308</v>
      </c>
      <c r="F68" s="3" t="s">
        <v>110</v>
      </c>
      <c r="G68" s="3" t="s">
        <v>407</v>
      </c>
      <c r="H68" s="3" t="s">
        <v>83</v>
      </c>
      <c r="I68" s="4">
        <v>5</v>
      </c>
      <c r="J68" s="4">
        <v>29687</v>
      </c>
      <c r="K68" s="4">
        <v>15</v>
      </c>
      <c r="L68" s="3" t="s">
        <v>1281</v>
      </c>
      <c r="M68" s="3" t="s">
        <v>78</v>
      </c>
      <c r="N68" s="3" t="s">
        <v>25</v>
      </c>
      <c r="O68" s="3" t="s">
        <v>45</v>
      </c>
      <c r="P68" s="8"/>
    </row>
    <row r="69" spans="1:16" x14ac:dyDescent="0.3">
      <c r="A69" s="5">
        <v>10067</v>
      </c>
      <c r="B69" s="1" t="s">
        <v>211</v>
      </c>
      <c r="C69" s="1" t="s">
        <v>212</v>
      </c>
      <c r="D69" s="1" t="s">
        <v>213</v>
      </c>
      <c r="E69" s="1" t="s">
        <v>197</v>
      </c>
      <c r="F69" s="1" t="s">
        <v>214</v>
      </c>
      <c r="G69" s="1" t="s">
        <v>99</v>
      </c>
      <c r="H69" s="1" t="s">
        <v>92</v>
      </c>
      <c r="I69" s="2">
        <v>2</v>
      </c>
      <c r="J69" s="2">
        <v>4151</v>
      </c>
      <c r="K69" s="2">
        <v>0</v>
      </c>
      <c r="L69" s="1" t="s">
        <v>215</v>
      </c>
      <c r="M69" s="1" t="s">
        <v>94</v>
      </c>
      <c r="N69" s="1" t="s">
        <v>119</v>
      </c>
      <c r="O69" s="1" t="s">
        <v>174</v>
      </c>
      <c r="P69" s="7">
        <v>3</v>
      </c>
    </row>
    <row r="70" spans="1:16" x14ac:dyDescent="0.3">
      <c r="A70" s="5">
        <v>10068</v>
      </c>
      <c r="B70" s="1" t="s">
        <v>1072</v>
      </c>
      <c r="C70" s="1" t="s">
        <v>506</v>
      </c>
      <c r="D70" s="1" t="s">
        <v>1073</v>
      </c>
      <c r="E70" s="1" t="s">
        <v>279</v>
      </c>
      <c r="F70" s="1" t="s">
        <v>259</v>
      </c>
      <c r="G70" s="1" t="s">
        <v>51</v>
      </c>
      <c r="H70" s="1" t="s">
        <v>22</v>
      </c>
      <c r="I70" s="2">
        <v>4</v>
      </c>
      <c r="J70" s="2">
        <v>1207</v>
      </c>
      <c r="K70" s="2">
        <v>0</v>
      </c>
      <c r="L70" s="1" t="s">
        <v>1074</v>
      </c>
      <c r="M70" s="1" t="s">
        <v>24</v>
      </c>
      <c r="N70" s="1" t="s">
        <v>456</v>
      </c>
      <c r="O70" s="1" t="s">
        <v>53</v>
      </c>
      <c r="P70" s="7">
        <v>1</v>
      </c>
    </row>
    <row r="71" spans="1:16" x14ac:dyDescent="0.3">
      <c r="A71" s="6">
        <v>10069</v>
      </c>
      <c r="B71" s="3" t="s">
        <v>319</v>
      </c>
      <c r="C71" s="3" t="s">
        <v>320</v>
      </c>
      <c r="D71" s="3" t="s">
        <v>321</v>
      </c>
      <c r="E71" s="3" t="s">
        <v>140</v>
      </c>
      <c r="F71" s="3" t="s">
        <v>141</v>
      </c>
      <c r="G71" s="3" t="s">
        <v>322</v>
      </c>
      <c r="H71" s="3" t="s">
        <v>83</v>
      </c>
      <c r="I71" s="4">
        <v>3</v>
      </c>
      <c r="J71" s="4">
        <v>4442</v>
      </c>
      <c r="K71" s="4">
        <v>10</v>
      </c>
      <c r="L71" s="3" t="s">
        <v>323</v>
      </c>
      <c r="M71" s="3" t="s">
        <v>24</v>
      </c>
      <c r="N71" s="3" t="s">
        <v>70</v>
      </c>
      <c r="O71" s="3" t="s">
        <v>45</v>
      </c>
      <c r="P71" s="8">
        <v>2</v>
      </c>
    </row>
    <row r="72" spans="1:16" x14ac:dyDescent="0.3">
      <c r="A72" s="5">
        <v>10070</v>
      </c>
      <c r="B72" s="1" t="s">
        <v>1067</v>
      </c>
      <c r="C72" s="1" t="s">
        <v>879</v>
      </c>
      <c r="D72" s="1" t="s">
        <v>1068</v>
      </c>
      <c r="E72" s="1" t="s">
        <v>253</v>
      </c>
      <c r="F72" s="1" t="s">
        <v>265</v>
      </c>
      <c r="G72" s="1" t="s">
        <v>375</v>
      </c>
      <c r="H72" s="1" t="s">
        <v>83</v>
      </c>
      <c r="I72" s="2">
        <v>5</v>
      </c>
      <c r="J72" s="2">
        <v>24487</v>
      </c>
      <c r="K72" s="2">
        <v>15</v>
      </c>
      <c r="L72" s="1" t="s">
        <v>1069</v>
      </c>
      <c r="M72" s="1" t="s">
        <v>157</v>
      </c>
      <c r="N72" s="1" t="s">
        <v>25</v>
      </c>
      <c r="O72" s="1" t="s">
        <v>71</v>
      </c>
      <c r="P72" s="7">
        <v>1</v>
      </c>
    </row>
    <row r="73" spans="1:16" x14ac:dyDescent="0.3">
      <c r="A73" s="5">
        <v>10071</v>
      </c>
      <c r="B73" s="1" t="s">
        <v>867</v>
      </c>
      <c r="C73" s="1" t="s">
        <v>590</v>
      </c>
      <c r="D73" s="1" t="s">
        <v>979</v>
      </c>
      <c r="E73" s="1" t="s">
        <v>172</v>
      </c>
      <c r="F73" s="1" t="s">
        <v>354</v>
      </c>
      <c r="G73" s="1" t="s">
        <v>231</v>
      </c>
      <c r="H73" s="1" t="s">
        <v>83</v>
      </c>
      <c r="I73" s="2">
        <v>4</v>
      </c>
      <c r="J73" s="2">
        <v>2229</v>
      </c>
      <c r="K73" s="2"/>
      <c r="L73" s="1" t="s">
        <v>980</v>
      </c>
      <c r="M73" s="1" t="s">
        <v>69</v>
      </c>
      <c r="N73" s="1" t="s">
        <v>25</v>
      </c>
      <c r="O73" s="1" t="s">
        <v>71</v>
      </c>
      <c r="P73" s="7">
        <v>5</v>
      </c>
    </row>
    <row r="74" spans="1:16" x14ac:dyDescent="0.3">
      <c r="A74" s="6">
        <v>10072</v>
      </c>
      <c r="B74" s="3" t="s">
        <v>255</v>
      </c>
      <c r="C74" s="3" t="s">
        <v>256</v>
      </c>
      <c r="D74" s="3" t="s">
        <v>852</v>
      </c>
      <c r="E74" s="3" t="s">
        <v>111</v>
      </c>
      <c r="F74" s="3" t="s">
        <v>111</v>
      </c>
      <c r="G74" s="3" t="s">
        <v>544</v>
      </c>
      <c r="H74" s="3" t="s">
        <v>83</v>
      </c>
      <c r="I74" s="4">
        <v>5</v>
      </c>
      <c r="J74" s="4">
        <v>50234</v>
      </c>
      <c r="K74" s="4">
        <v>15</v>
      </c>
      <c r="L74" s="3" t="s">
        <v>853</v>
      </c>
      <c r="M74" s="3" t="s">
        <v>94</v>
      </c>
      <c r="N74" s="3" t="s">
        <v>70</v>
      </c>
      <c r="O74" s="3" t="s">
        <v>34</v>
      </c>
      <c r="P74" s="8">
        <v>4</v>
      </c>
    </row>
    <row r="75" spans="1:16" x14ac:dyDescent="0.3">
      <c r="A75" s="6">
        <v>10073</v>
      </c>
      <c r="B75" s="3" t="s">
        <v>598</v>
      </c>
      <c r="C75" s="3" t="s">
        <v>599</v>
      </c>
      <c r="D75" s="3" t="s">
        <v>1598</v>
      </c>
      <c r="E75" s="3" t="s">
        <v>97</v>
      </c>
      <c r="F75" s="3" t="s">
        <v>98</v>
      </c>
      <c r="G75" s="3" t="s">
        <v>106</v>
      </c>
      <c r="H75" s="3" t="s">
        <v>83</v>
      </c>
      <c r="I75" s="4">
        <v>4</v>
      </c>
      <c r="J75" s="4">
        <v>13269</v>
      </c>
      <c r="K75" s="4">
        <v>5</v>
      </c>
      <c r="L75" s="3" t="s">
        <v>1599</v>
      </c>
      <c r="M75" s="3" t="s">
        <v>43</v>
      </c>
      <c r="N75" s="3" t="s">
        <v>70</v>
      </c>
      <c r="O75" s="3" t="s">
        <v>53</v>
      </c>
      <c r="P75" s="8">
        <v>1</v>
      </c>
    </row>
    <row r="76" spans="1:16" x14ac:dyDescent="0.3">
      <c r="A76" s="6">
        <v>10074</v>
      </c>
      <c r="B76" s="3" t="s">
        <v>800</v>
      </c>
      <c r="C76" s="3" t="s">
        <v>610</v>
      </c>
      <c r="D76" s="3" t="s">
        <v>801</v>
      </c>
      <c r="E76" s="3" t="s">
        <v>154</v>
      </c>
      <c r="F76" s="3" t="s">
        <v>802</v>
      </c>
      <c r="G76" s="3" t="s">
        <v>544</v>
      </c>
      <c r="H76" s="3" t="s">
        <v>83</v>
      </c>
      <c r="I76" s="4">
        <v>5</v>
      </c>
      <c r="J76" s="4">
        <v>48728</v>
      </c>
      <c r="K76" s="4"/>
      <c r="L76" s="3" t="s">
        <v>803</v>
      </c>
      <c r="M76" s="3" t="s">
        <v>157</v>
      </c>
      <c r="N76" s="3" t="s">
        <v>25</v>
      </c>
      <c r="O76" s="3" t="s">
        <v>71</v>
      </c>
      <c r="P76" s="8"/>
    </row>
    <row r="77" spans="1:16" x14ac:dyDescent="0.3">
      <c r="A77" s="5">
        <v>10075</v>
      </c>
      <c r="B77" s="1" t="s">
        <v>722</v>
      </c>
      <c r="C77" s="1" t="s">
        <v>458</v>
      </c>
      <c r="D77" s="1" t="s">
        <v>1272</v>
      </c>
      <c r="E77" s="1" t="s">
        <v>74</v>
      </c>
      <c r="F77" s="1" t="s">
        <v>899</v>
      </c>
      <c r="G77" s="1" t="s">
        <v>99</v>
      </c>
      <c r="H77" s="1" t="s">
        <v>92</v>
      </c>
      <c r="I77" s="2">
        <v>3</v>
      </c>
      <c r="J77" s="2">
        <v>2459</v>
      </c>
      <c r="K77" s="2"/>
      <c r="L77" s="1" t="s">
        <v>1273</v>
      </c>
      <c r="M77" s="1" t="s">
        <v>186</v>
      </c>
      <c r="N77" s="1" t="s">
        <v>25</v>
      </c>
      <c r="O77" s="1" t="s">
        <v>34</v>
      </c>
      <c r="P77" s="7">
        <v>1</v>
      </c>
    </row>
    <row r="78" spans="1:16" x14ac:dyDescent="0.3">
      <c r="A78" s="5">
        <v>10076</v>
      </c>
      <c r="B78" s="1" t="s">
        <v>35</v>
      </c>
      <c r="C78" s="1"/>
      <c r="D78" s="1" t="s">
        <v>1528</v>
      </c>
      <c r="E78" s="1" t="s">
        <v>701</v>
      </c>
      <c r="F78" s="1" t="s">
        <v>417</v>
      </c>
      <c r="G78" s="1" t="s">
        <v>204</v>
      </c>
      <c r="H78" s="1" t="s">
        <v>143</v>
      </c>
      <c r="I78" s="2">
        <v>4</v>
      </c>
      <c r="J78" s="2">
        <v>595</v>
      </c>
      <c r="K78" s="2"/>
      <c r="L78" s="1" t="s">
        <v>1529</v>
      </c>
      <c r="M78" s="1" t="s">
        <v>85</v>
      </c>
      <c r="N78" s="1" t="s">
        <v>33</v>
      </c>
      <c r="O78" s="1" t="s">
        <v>45</v>
      </c>
      <c r="P78" s="7"/>
    </row>
    <row r="79" spans="1:16" x14ac:dyDescent="0.3">
      <c r="A79" s="6">
        <v>10077</v>
      </c>
      <c r="B79" s="3" t="s">
        <v>300</v>
      </c>
      <c r="C79" s="3" t="s">
        <v>301</v>
      </c>
      <c r="D79" s="3" t="s">
        <v>302</v>
      </c>
      <c r="E79" s="3" t="s">
        <v>111</v>
      </c>
      <c r="F79" s="3" t="s">
        <v>117</v>
      </c>
      <c r="G79" s="3" t="s">
        <v>303</v>
      </c>
      <c r="H79" s="3" t="s">
        <v>60</v>
      </c>
      <c r="I79" s="4">
        <v>5</v>
      </c>
      <c r="J79" s="4">
        <v>721</v>
      </c>
      <c r="K79" s="4">
        <v>20</v>
      </c>
      <c r="L79" s="3" t="s">
        <v>304</v>
      </c>
      <c r="M79" s="3" t="s">
        <v>101</v>
      </c>
      <c r="N79" s="3" t="s">
        <v>25</v>
      </c>
      <c r="O79" s="3" t="s">
        <v>34</v>
      </c>
      <c r="P79" s="8"/>
    </row>
    <row r="80" spans="1:16" x14ac:dyDescent="0.3">
      <c r="A80" s="5">
        <v>10078</v>
      </c>
      <c r="B80" s="1" t="s">
        <v>244</v>
      </c>
      <c r="C80" s="1" t="s">
        <v>245</v>
      </c>
      <c r="D80" s="1" t="s">
        <v>246</v>
      </c>
      <c r="E80" s="1" t="s">
        <v>247</v>
      </c>
      <c r="F80" s="1" t="s">
        <v>141</v>
      </c>
      <c r="G80" s="1" t="s">
        <v>248</v>
      </c>
      <c r="H80" s="1" t="s">
        <v>41</v>
      </c>
      <c r="I80" s="2">
        <v>2</v>
      </c>
      <c r="J80" s="2">
        <v>135</v>
      </c>
      <c r="K80" s="2">
        <v>20</v>
      </c>
      <c r="L80" s="1" t="s">
        <v>249</v>
      </c>
      <c r="M80" s="1" t="s">
        <v>78</v>
      </c>
      <c r="N80" s="1" t="s">
        <v>25</v>
      </c>
      <c r="O80" s="1" t="s">
        <v>71</v>
      </c>
      <c r="P80" s="7"/>
    </row>
    <row r="81" spans="1:16" x14ac:dyDescent="0.3">
      <c r="A81" s="6">
        <v>10079</v>
      </c>
      <c r="B81" s="3" t="s">
        <v>923</v>
      </c>
      <c r="C81" s="3" t="s">
        <v>924</v>
      </c>
      <c r="D81" s="3" t="s">
        <v>925</v>
      </c>
      <c r="E81" s="3" t="s">
        <v>543</v>
      </c>
      <c r="F81" s="3" t="s">
        <v>886</v>
      </c>
      <c r="G81" s="3" t="s">
        <v>327</v>
      </c>
      <c r="H81" s="3" t="s">
        <v>22</v>
      </c>
      <c r="I81" s="4">
        <v>3</v>
      </c>
      <c r="J81" s="4">
        <v>2305</v>
      </c>
      <c r="K81" s="4">
        <v>15</v>
      </c>
      <c r="L81" s="3" t="s">
        <v>926</v>
      </c>
      <c r="M81" s="3" t="s">
        <v>78</v>
      </c>
      <c r="N81" s="3" t="s">
        <v>413</v>
      </c>
      <c r="O81" s="3" t="s">
        <v>34</v>
      </c>
      <c r="P81" s="8">
        <v>4</v>
      </c>
    </row>
    <row r="82" spans="1:16" x14ac:dyDescent="0.3">
      <c r="A82" s="6">
        <v>10079</v>
      </c>
      <c r="B82" s="3" t="s">
        <v>923</v>
      </c>
      <c r="C82" s="3" t="s">
        <v>924</v>
      </c>
      <c r="D82" s="3" t="s">
        <v>925</v>
      </c>
      <c r="E82" s="3" t="s">
        <v>543</v>
      </c>
      <c r="F82" s="3" t="s">
        <v>886</v>
      </c>
      <c r="G82" s="3" t="s">
        <v>327</v>
      </c>
      <c r="H82" s="3" t="s">
        <v>22</v>
      </c>
      <c r="I82" s="4">
        <v>3</v>
      </c>
      <c r="J82" s="4">
        <v>2305</v>
      </c>
      <c r="K82" s="4">
        <v>15</v>
      </c>
      <c r="L82" s="3" t="s">
        <v>926</v>
      </c>
      <c r="M82" s="3" t="s">
        <v>78</v>
      </c>
      <c r="N82" s="3" t="s">
        <v>413</v>
      </c>
      <c r="O82" s="3" t="s">
        <v>34</v>
      </c>
      <c r="P82" s="8">
        <v>4</v>
      </c>
    </row>
    <row r="83" spans="1:16" x14ac:dyDescent="0.3">
      <c r="A83" s="6">
        <v>10080</v>
      </c>
      <c r="B83" s="3" t="s">
        <v>654</v>
      </c>
      <c r="C83" s="3" t="s">
        <v>1090</v>
      </c>
      <c r="D83" s="3" t="s">
        <v>1091</v>
      </c>
      <c r="E83" s="3" t="s">
        <v>117</v>
      </c>
      <c r="F83" s="3" t="s">
        <v>111</v>
      </c>
      <c r="G83" s="3" t="s">
        <v>179</v>
      </c>
      <c r="H83" s="3" t="s">
        <v>60</v>
      </c>
      <c r="I83" s="4">
        <v>4</v>
      </c>
      <c r="J83" s="4">
        <v>328</v>
      </c>
      <c r="K83" s="4">
        <v>20</v>
      </c>
      <c r="L83" s="3" t="s">
        <v>1092</v>
      </c>
      <c r="M83" s="3" t="s">
        <v>69</v>
      </c>
      <c r="N83" s="3" t="s">
        <v>25</v>
      </c>
      <c r="O83" s="3" t="s">
        <v>45</v>
      </c>
      <c r="P83" s="8">
        <v>5</v>
      </c>
    </row>
    <row r="84" spans="1:16" x14ac:dyDescent="0.3">
      <c r="A84" s="6">
        <v>10081</v>
      </c>
      <c r="B84" s="3" t="s">
        <v>906</v>
      </c>
      <c r="C84" s="3" t="s">
        <v>907</v>
      </c>
      <c r="D84" s="3" t="s">
        <v>908</v>
      </c>
      <c r="E84" s="3" t="s">
        <v>738</v>
      </c>
      <c r="F84" s="3" t="s">
        <v>667</v>
      </c>
      <c r="G84" s="3" t="s">
        <v>91</v>
      </c>
      <c r="H84" s="3" t="s">
        <v>92</v>
      </c>
      <c r="I84" s="4">
        <v>4</v>
      </c>
      <c r="J84" s="4">
        <v>4848</v>
      </c>
      <c r="K84" s="4">
        <v>5</v>
      </c>
      <c r="L84" s="3" t="s">
        <v>909</v>
      </c>
      <c r="M84" s="3" t="s">
        <v>94</v>
      </c>
      <c r="N84" s="3" t="s">
        <v>33</v>
      </c>
      <c r="O84" s="3" t="s">
        <v>34</v>
      </c>
      <c r="P84" s="8"/>
    </row>
    <row r="85" spans="1:16" x14ac:dyDescent="0.3">
      <c r="A85" s="6">
        <v>10082</v>
      </c>
      <c r="B85" s="3" t="s">
        <v>276</v>
      </c>
      <c r="C85" s="3" t="s">
        <v>1020</v>
      </c>
      <c r="D85" s="3" t="s">
        <v>1021</v>
      </c>
      <c r="E85" s="3" t="s">
        <v>172</v>
      </c>
      <c r="F85" s="3" t="s">
        <v>150</v>
      </c>
      <c r="G85" s="3" t="s">
        <v>231</v>
      </c>
      <c r="H85" s="3" t="s">
        <v>83</v>
      </c>
      <c r="I85" s="4">
        <v>5</v>
      </c>
      <c r="J85" s="4">
        <v>3630</v>
      </c>
      <c r="K85" s="4">
        <v>10</v>
      </c>
      <c r="L85" s="3" t="s">
        <v>873</v>
      </c>
      <c r="M85" s="3" t="s">
        <v>94</v>
      </c>
      <c r="N85" s="3" t="s">
        <v>70</v>
      </c>
      <c r="O85" s="3" t="s">
        <v>45</v>
      </c>
      <c r="P85" s="8">
        <v>2</v>
      </c>
    </row>
    <row r="86" spans="1:16" x14ac:dyDescent="0.3">
      <c r="A86" s="6">
        <v>10083</v>
      </c>
      <c r="B86" s="3" t="s">
        <v>314</v>
      </c>
      <c r="C86" s="3" t="s">
        <v>315</v>
      </c>
      <c r="D86" s="3" t="s">
        <v>1306</v>
      </c>
      <c r="E86" s="3" t="s">
        <v>371</v>
      </c>
      <c r="F86" s="3" t="s">
        <v>1169</v>
      </c>
      <c r="G86" s="3" t="s">
        <v>231</v>
      </c>
      <c r="H86" s="3" t="s">
        <v>83</v>
      </c>
      <c r="I86" s="4">
        <v>4</v>
      </c>
      <c r="J86" s="4">
        <v>3863</v>
      </c>
      <c r="K86" s="4"/>
      <c r="L86" s="3" t="s">
        <v>1307</v>
      </c>
      <c r="M86" s="3" t="s">
        <v>157</v>
      </c>
      <c r="N86" s="3" t="s">
        <v>25</v>
      </c>
      <c r="O86" s="3" t="s">
        <v>174</v>
      </c>
      <c r="P86" s="8">
        <v>5</v>
      </c>
    </row>
    <row r="87" spans="1:16" x14ac:dyDescent="0.3">
      <c r="A87" s="6">
        <v>10084</v>
      </c>
      <c r="B87" s="3" t="s">
        <v>538</v>
      </c>
      <c r="C87" s="3" t="s">
        <v>432</v>
      </c>
      <c r="D87" s="3"/>
      <c r="E87" s="3" t="s">
        <v>279</v>
      </c>
      <c r="F87" s="3" t="s">
        <v>141</v>
      </c>
      <c r="G87" s="3" t="s">
        <v>587</v>
      </c>
      <c r="H87" s="3" t="s">
        <v>83</v>
      </c>
      <c r="I87" s="4">
        <v>4</v>
      </c>
      <c r="J87" s="4">
        <v>6749</v>
      </c>
      <c r="K87" s="4">
        <v>10</v>
      </c>
      <c r="L87" s="3" t="s">
        <v>152</v>
      </c>
      <c r="M87" s="3" t="s">
        <v>200</v>
      </c>
      <c r="N87" s="3" t="s">
        <v>25</v>
      </c>
      <c r="O87" s="3" t="s">
        <v>34</v>
      </c>
      <c r="P87" s="8"/>
    </row>
    <row r="88" spans="1:16" x14ac:dyDescent="0.3">
      <c r="A88" s="5">
        <v>10085</v>
      </c>
      <c r="B88" s="1" t="s">
        <v>849</v>
      </c>
      <c r="C88" s="1" t="s">
        <v>618</v>
      </c>
      <c r="D88" s="1" t="s">
        <v>1006</v>
      </c>
      <c r="E88" s="1" t="s">
        <v>592</v>
      </c>
      <c r="F88" s="1" t="s">
        <v>50</v>
      </c>
      <c r="G88" s="1" t="s">
        <v>1007</v>
      </c>
      <c r="H88" s="1" t="s">
        <v>92</v>
      </c>
      <c r="I88" s="2">
        <v>2</v>
      </c>
      <c r="J88" s="2">
        <v>4115</v>
      </c>
      <c r="K88" s="2">
        <v>20</v>
      </c>
      <c r="L88" s="1" t="s">
        <v>1008</v>
      </c>
      <c r="M88" s="1" t="s">
        <v>85</v>
      </c>
      <c r="N88" s="1" t="s">
        <v>25</v>
      </c>
      <c r="O88" s="1" t="s">
        <v>53</v>
      </c>
      <c r="P88" s="7">
        <v>3</v>
      </c>
    </row>
    <row r="89" spans="1:16" x14ac:dyDescent="0.3">
      <c r="A89" s="6">
        <v>10086</v>
      </c>
      <c r="B89" s="3" t="s">
        <v>262</v>
      </c>
      <c r="C89" s="3" t="s">
        <v>263</v>
      </c>
      <c r="D89" s="3" t="s">
        <v>264</v>
      </c>
      <c r="E89" s="3" t="s">
        <v>57</v>
      </c>
      <c r="F89" s="3" t="s">
        <v>265</v>
      </c>
      <c r="G89" s="3" t="s">
        <v>82</v>
      </c>
      <c r="H89" s="3" t="s">
        <v>83</v>
      </c>
      <c r="I89" s="4">
        <v>5</v>
      </c>
      <c r="J89" s="4">
        <v>46377</v>
      </c>
      <c r="K89" s="4">
        <v>0</v>
      </c>
      <c r="L89" s="3" t="s">
        <v>266</v>
      </c>
      <c r="M89" s="3" t="s">
        <v>78</v>
      </c>
      <c r="N89" s="3" t="s">
        <v>25</v>
      </c>
      <c r="O89" s="3" t="s">
        <v>53</v>
      </c>
      <c r="P89" s="8">
        <v>3</v>
      </c>
    </row>
    <row r="90" spans="1:16" x14ac:dyDescent="0.3">
      <c r="A90" s="5">
        <v>10087</v>
      </c>
      <c r="B90" s="1" t="s">
        <v>1078</v>
      </c>
      <c r="C90" s="1" t="s">
        <v>188</v>
      </c>
      <c r="D90" s="1" t="s">
        <v>1079</v>
      </c>
      <c r="E90" s="1" t="s">
        <v>253</v>
      </c>
      <c r="F90" s="1" t="s">
        <v>50</v>
      </c>
      <c r="G90" s="1" t="s">
        <v>204</v>
      </c>
      <c r="H90" s="1" t="s">
        <v>143</v>
      </c>
      <c r="I90" s="2">
        <v>1</v>
      </c>
      <c r="J90" s="2">
        <v>266</v>
      </c>
      <c r="K90" s="2">
        <v>5</v>
      </c>
      <c r="L90" s="1" t="s">
        <v>1080</v>
      </c>
      <c r="M90" s="1" t="s">
        <v>69</v>
      </c>
      <c r="N90" s="1" t="s">
        <v>25</v>
      </c>
      <c r="O90" s="1" t="s">
        <v>34</v>
      </c>
      <c r="P90" s="7">
        <v>3</v>
      </c>
    </row>
    <row r="91" spans="1:16" x14ac:dyDescent="0.3">
      <c r="A91" s="5">
        <v>10088</v>
      </c>
      <c r="B91" s="1" t="s">
        <v>72</v>
      </c>
      <c r="C91" s="1" t="s">
        <v>502</v>
      </c>
      <c r="D91" s="1" t="s">
        <v>1384</v>
      </c>
      <c r="E91" s="1" t="s">
        <v>111</v>
      </c>
      <c r="F91" s="1" t="s">
        <v>117</v>
      </c>
      <c r="G91" s="1" t="s">
        <v>338</v>
      </c>
      <c r="H91" s="1" t="s">
        <v>22</v>
      </c>
      <c r="I91" s="2">
        <v>2</v>
      </c>
      <c r="J91" s="2">
        <v>2407</v>
      </c>
      <c r="K91" s="2"/>
      <c r="L91" s="1" t="s">
        <v>1385</v>
      </c>
      <c r="M91" s="1" t="s">
        <v>186</v>
      </c>
      <c r="N91" s="1" t="s">
        <v>70</v>
      </c>
      <c r="O91" s="1" t="s">
        <v>174</v>
      </c>
      <c r="P91" s="7">
        <v>5</v>
      </c>
    </row>
    <row r="92" spans="1:16" x14ac:dyDescent="0.3">
      <c r="A92" s="6">
        <v>10089</v>
      </c>
      <c r="B92" s="3" t="s">
        <v>95</v>
      </c>
      <c r="C92" s="3" t="s">
        <v>87</v>
      </c>
      <c r="D92" s="3" t="s">
        <v>1213</v>
      </c>
      <c r="E92" s="3" t="s">
        <v>391</v>
      </c>
      <c r="F92" s="3" t="s">
        <v>30</v>
      </c>
      <c r="G92" s="3" t="s">
        <v>204</v>
      </c>
      <c r="H92" s="3" t="s">
        <v>143</v>
      </c>
      <c r="I92" s="4">
        <v>2</v>
      </c>
      <c r="J92" s="4">
        <v>418</v>
      </c>
      <c r="K92" s="4">
        <v>20</v>
      </c>
      <c r="L92" s="3" t="s">
        <v>1214</v>
      </c>
      <c r="M92" s="3" t="s">
        <v>69</v>
      </c>
      <c r="N92" s="3" t="s">
        <v>33</v>
      </c>
      <c r="O92" s="3" t="s">
        <v>34</v>
      </c>
      <c r="P92" s="8">
        <v>2</v>
      </c>
    </row>
    <row r="93" spans="1:16" x14ac:dyDescent="0.3">
      <c r="A93" s="6">
        <v>10090</v>
      </c>
      <c r="B93" s="3" t="s">
        <v>896</v>
      </c>
      <c r="C93" s="3" t="s">
        <v>897</v>
      </c>
      <c r="D93" s="3" t="s">
        <v>898</v>
      </c>
      <c r="E93" s="3" t="s">
        <v>74</v>
      </c>
      <c r="F93" s="3" t="s">
        <v>899</v>
      </c>
      <c r="G93" s="3" t="s">
        <v>368</v>
      </c>
      <c r="H93" s="3" t="s">
        <v>22</v>
      </c>
      <c r="I93" s="4">
        <v>1</v>
      </c>
      <c r="J93" s="4">
        <v>1035</v>
      </c>
      <c r="K93" s="4"/>
      <c r="L93" s="3" t="s">
        <v>900</v>
      </c>
      <c r="M93" s="3" t="s">
        <v>145</v>
      </c>
      <c r="N93" s="3" t="s">
        <v>70</v>
      </c>
      <c r="O93" s="3" t="s">
        <v>53</v>
      </c>
      <c r="P93" s="8">
        <v>1</v>
      </c>
    </row>
    <row r="94" spans="1:16" x14ac:dyDescent="0.3">
      <c r="A94" s="6">
        <v>10091</v>
      </c>
      <c r="B94" s="3" t="s">
        <v>79</v>
      </c>
      <c r="C94" s="3" t="s">
        <v>80</v>
      </c>
      <c r="D94" s="3" t="s">
        <v>81</v>
      </c>
      <c r="E94" s="3" t="s">
        <v>57</v>
      </c>
      <c r="F94" s="3" t="s">
        <v>50</v>
      </c>
      <c r="G94" s="3" t="s">
        <v>82</v>
      </c>
      <c r="H94" s="3" t="s">
        <v>83</v>
      </c>
      <c r="I94" s="4">
        <v>3</v>
      </c>
      <c r="J94" s="4">
        <v>46309</v>
      </c>
      <c r="K94" s="4">
        <v>15</v>
      </c>
      <c r="L94" s="3" t="s">
        <v>84</v>
      </c>
      <c r="M94" s="3" t="s">
        <v>85</v>
      </c>
      <c r="N94" s="3" t="s">
        <v>25</v>
      </c>
      <c r="O94" s="3" t="s">
        <v>53</v>
      </c>
      <c r="P94" s="8">
        <v>4</v>
      </c>
    </row>
    <row r="95" spans="1:16" x14ac:dyDescent="0.3">
      <c r="A95" s="5">
        <v>10092</v>
      </c>
      <c r="B95" s="1" t="s">
        <v>867</v>
      </c>
      <c r="C95" s="1" t="s">
        <v>590</v>
      </c>
      <c r="D95" s="1" t="s">
        <v>868</v>
      </c>
      <c r="E95" s="1" t="s">
        <v>172</v>
      </c>
      <c r="F95" s="1" t="s">
        <v>150</v>
      </c>
      <c r="G95" s="1" t="s">
        <v>91</v>
      </c>
      <c r="H95" s="1" t="s">
        <v>92</v>
      </c>
      <c r="I95" s="2">
        <v>1</v>
      </c>
      <c r="J95" s="2">
        <v>2379</v>
      </c>
      <c r="K95" s="2">
        <v>15</v>
      </c>
      <c r="L95" s="1" t="s">
        <v>869</v>
      </c>
      <c r="M95" s="1" t="s">
        <v>94</v>
      </c>
      <c r="N95" s="1" t="s">
        <v>456</v>
      </c>
      <c r="O95" s="1" t="s">
        <v>53</v>
      </c>
      <c r="P95" s="7">
        <v>2</v>
      </c>
    </row>
    <row r="96" spans="1:16" x14ac:dyDescent="0.3">
      <c r="A96" s="6">
        <v>10093</v>
      </c>
      <c r="B96" s="3" t="s">
        <v>1473</v>
      </c>
      <c r="C96" s="3" t="s">
        <v>1047</v>
      </c>
      <c r="D96" s="3" t="s">
        <v>1474</v>
      </c>
      <c r="E96" s="3" t="s">
        <v>149</v>
      </c>
      <c r="F96" s="3" t="s">
        <v>66</v>
      </c>
      <c r="G96" s="3" t="s">
        <v>368</v>
      </c>
      <c r="H96" s="3" t="s">
        <v>22</v>
      </c>
      <c r="I96" s="4">
        <v>5</v>
      </c>
      <c r="J96" s="4">
        <v>1949</v>
      </c>
      <c r="K96" s="4">
        <v>20</v>
      </c>
      <c r="L96" s="3" t="s">
        <v>1421</v>
      </c>
      <c r="M96" s="3" t="s">
        <v>94</v>
      </c>
      <c r="N96" s="3" t="s">
        <v>25</v>
      </c>
      <c r="O96" s="3" t="s">
        <v>45</v>
      </c>
      <c r="P96" s="8">
        <v>2</v>
      </c>
    </row>
    <row r="97" spans="1:16" x14ac:dyDescent="0.3">
      <c r="A97" s="6">
        <v>10094</v>
      </c>
      <c r="B97" s="3" t="s">
        <v>187</v>
      </c>
      <c r="C97" s="3" t="s">
        <v>188</v>
      </c>
      <c r="D97" s="3" t="s">
        <v>518</v>
      </c>
      <c r="E97" s="3" t="s">
        <v>140</v>
      </c>
      <c r="F97" s="3" t="s">
        <v>141</v>
      </c>
      <c r="G97" s="3" t="s">
        <v>327</v>
      </c>
      <c r="H97" s="3" t="s">
        <v>22</v>
      </c>
      <c r="I97" s="4">
        <v>5</v>
      </c>
      <c r="J97" s="4">
        <v>858</v>
      </c>
      <c r="K97" s="4"/>
      <c r="L97" s="3" t="s">
        <v>519</v>
      </c>
      <c r="M97" s="3" t="s">
        <v>186</v>
      </c>
      <c r="N97" s="3" t="s">
        <v>33</v>
      </c>
      <c r="O97" s="3" t="s">
        <v>53</v>
      </c>
      <c r="P97" s="8">
        <v>3</v>
      </c>
    </row>
    <row r="98" spans="1:16" x14ac:dyDescent="0.3">
      <c r="A98" s="5">
        <v>10095</v>
      </c>
      <c r="B98" s="1" t="s">
        <v>1142</v>
      </c>
      <c r="C98" s="1" t="s">
        <v>645</v>
      </c>
      <c r="D98" s="1" t="s">
        <v>1143</v>
      </c>
      <c r="E98" s="1" t="s">
        <v>371</v>
      </c>
      <c r="F98" s="1" t="s">
        <v>98</v>
      </c>
      <c r="G98" s="1" t="s">
        <v>204</v>
      </c>
      <c r="H98" s="1" t="s">
        <v>143</v>
      </c>
      <c r="I98" s="2">
        <v>3</v>
      </c>
      <c r="J98" s="2">
        <v>398</v>
      </c>
      <c r="K98" s="2"/>
      <c r="L98" s="1" t="s">
        <v>1144</v>
      </c>
      <c r="M98" s="1" t="s">
        <v>78</v>
      </c>
      <c r="N98" s="1" t="s">
        <v>119</v>
      </c>
      <c r="O98" s="1" t="s">
        <v>53</v>
      </c>
      <c r="P98" s="7">
        <v>5</v>
      </c>
    </row>
    <row r="99" spans="1:16" x14ac:dyDescent="0.3">
      <c r="A99" s="5">
        <v>10096</v>
      </c>
      <c r="B99" s="1" t="s">
        <v>360</v>
      </c>
      <c r="C99" s="1" t="s">
        <v>315</v>
      </c>
      <c r="D99" s="1"/>
      <c r="E99" s="1" t="s">
        <v>117</v>
      </c>
      <c r="F99" s="1" t="s">
        <v>111</v>
      </c>
      <c r="G99" s="1" t="s">
        <v>21</v>
      </c>
      <c r="H99" s="1" t="s">
        <v>22</v>
      </c>
      <c r="I99" s="2">
        <v>5</v>
      </c>
      <c r="J99" s="2">
        <v>681</v>
      </c>
      <c r="K99" s="2">
        <v>10</v>
      </c>
      <c r="L99" s="1" t="s">
        <v>1245</v>
      </c>
      <c r="M99" s="1" t="s">
        <v>186</v>
      </c>
      <c r="N99" s="1" t="s">
        <v>25</v>
      </c>
      <c r="O99" s="1"/>
      <c r="P99" s="7">
        <v>1</v>
      </c>
    </row>
    <row r="100" spans="1:16" x14ac:dyDescent="0.3">
      <c r="A100" s="6">
        <v>10097</v>
      </c>
      <c r="B100" s="3" t="s">
        <v>1610</v>
      </c>
      <c r="C100" s="3" t="s">
        <v>871</v>
      </c>
      <c r="D100" s="3" t="s">
        <v>1611</v>
      </c>
      <c r="E100" s="3" t="s">
        <v>149</v>
      </c>
      <c r="F100" s="3" t="s">
        <v>150</v>
      </c>
      <c r="G100" s="3" t="s">
        <v>198</v>
      </c>
      <c r="H100" s="3" t="s">
        <v>41</v>
      </c>
      <c r="I100" s="4">
        <v>1</v>
      </c>
      <c r="J100" s="4">
        <v>314</v>
      </c>
      <c r="K100" s="4"/>
      <c r="L100" s="3" t="s">
        <v>1612</v>
      </c>
      <c r="M100" s="3" t="s">
        <v>32</v>
      </c>
      <c r="N100" s="3" t="s">
        <v>25</v>
      </c>
      <c r="O100" s="3" t="s">
        <v>53</v>
      </c>
      <c r="P100" s="8">
        <v>2</v>
      </c>
    </row>
    <row r="101" spans="1:16" x14ac:dyDescent="0.3">
      <c r="A101" s="5">
        <v>10098</v>
      </c>
      <c r="B101" s="1" t="s">
        <v>811</v>
      </c>
      <c r="C101" s="1" t="s">
        <v>1199</v>
      </c>
      <c r="D101" s="1" t="s">
        <v>1200</v>
      </c>
      <c r="E101" s="1" t="s">
        <v>738</v>
      </c>
      <c r="F101" s="1" t="s">
        <v>66</v>
      </c>
      <c r="G101" s="1" t="s">
        <v>106</v>
      </c>
      <c r="H101" s="1" t="s">
        <v>83</v>
      </c>
      <c r="I101" s="2">
        <v>1</v>
      </c>
      <c r="J101" s="2">
        <v>13645</v>
      </c>
      <c r="K101" s="2">
        <v>5</v>
      </c>
      <c r="L101" s="1" t="s">
        <v>1201</v>
      </c>
      <c r="M101" s="1" t="s">
        <v>94</v>
      </c>
      <c r="N101" s="1" t="s">
        <v>70</v>
      </c>
      <c r="O101" s="1" t="s">
        <v>174</v>
      </c>
      <c r="P101" s="7">
        <v>1</v>
      </c>
    </row>
    <row r="102" spans="1:16" x14ac:dyDescent="0.3">
      <c r="A102" s="6">
        <v>10099</v>
      </c>
      <c r="B102" s="3" t="s">
        <v>1106</v>
      </c>
      <c r="C102" s="3" t="s">
        <v>1107</v>
      </c>
      <c r="D102" s="3" t="s">
        <v>1108</v>
      </c>
      <c r="E102" s="3" t="s">
        <v>123</v>
      </c>
      <c r="F102" s="3" t="s">
        <v>90</v>
      </c>
      <c r="G102" s="3" t="s">
        <v>327</v>
      </c>
      <c r="H102" s="3" t="s">
        <v>22</v>
      </c>
      <c r="I102" s="4">
        <v>1</v>
      </c>
      <c r="J102" s="4">
        <v>889</v>
      </c>
      <c r="K102" s="4"/>
      <c r="L102" s="3" t="s">
        <v>1109</v>
      </c>
      <c r="M102" s="3" t="s">
        <v>94</v>
      </c>
      <c r="N102" s="3" t="s">
        <v>25</v>
      </c>
      <c r="O102" s="3" t="s">
        <v>174</v>
      </c>
      <c r="P102" s="8">
        <v>1</v>
      </c>
    </row>
    <row r="103" spans="1:16" x14ac:dyDescent="0.3">
      <c r="A103" s="5">
        <v>10100</v>
      </c>
      <c r="B103" s="1" t="s">
        <v>549</v>
      </c>
      <c r="C103" s="1" t="s">
        <v>435</v>
      </c>
      <c r="D103" s="1" t="s">
        <v>550</v>
      </c>
      <c r="E103" s="1" t="s">
        <v>308</v>
      </c>
      <c r="F103" s="1" t="s">
        <v>110</v>
      </c>
      <c r="G103" s="1" t="s">
        <v>106</v>
      </c>
      <c r="H103" s="1" t="s">
        <v>83</v>
      </c>
      <c r="I103" s="2">
        <v>5</v>
      </c>
      <c r="J103" s="2">
        <v>10440</v>
      </c>
      <c r="K103" s="2">
        <v>20</v>
      </c>
      <c r="L103" s="1" t="s">
        <v>551</v>
      </c>
      <c r="M103" s="1" t="s">
        <v>24</v>
      </c>
      <c r="N103" s="1" t="s">
        <v>33</v>
      </c>
      <c r="O103" s="1" t="s">
        <v>71</v>
      </c>
      <c r="P103" s="7"/>
    </row>
    <row r="104" spans="1:16" x14ac:dyDescent="0.3">
      <c r="A104" s="5">
        <v>10101</v>
      </c>
      <c r="B104" s="1" t="s">
        <v>854</v>
      </c>
      <c r="C104" s="1" t="s">
        <v>855</v>
      </c>
      <c r="D104" s="1" t="s">
        <v>856</v>
      </c>
      <c r="E104" s="1" t="s">
        <v>273</v>
      </c>
      <c r="F104" s="1" t="s">
        <v>50</v>
      </c>
      <c r="G104" s="1" t="s">
        <v>333</v>
      </c>
      <c r="H104" s="1" t="s">
        <v>92</v>
      </c>
      <c r="I104" s="2">
        <v>1</v>
      </c>
      <c r="J104" s="2">
        <v>3719</v>
      </c>
      <c r="K104" s="2"/>
      <c r="L104" s="1" t="s">
        <v>857</v>
      </c>
      <c r="M104" s="1" t="s">
        <v>24</v>
      </c>
      <c r="N104" s="1" t="s">
        <v>25</v>
      </c>
      <c r="O104" s="1" t="s">
        <v>53</v>
      </c>
      <c r="P104" s="7">
        <v>4</v>
      </c>
    </row>
    <row r="105" spans="1:16" x14ac:dyDescent="0.3">
      <c r="A105" s="6">
        <v>10102</v>
      </c>
      <c r="B105" s="3" t="s">
        <v>530</v>
      </c>
      <c r="C105" s="3" t="s">
        <v>320</v>
      </c>
      <c r="D105" s="3" t="s">
        <v>531</v>
      </c>
      <c r="E105" s="3" t="s">
        <v>532</v>
      </c>
      <c r="F105" s="3" t="s">
        <v>150</v>
      </c>
      <c r="G105" s="3" t="s">
        <v>533</v>
      </c>
      <c r="H105" s="3" t="s">
        <v>22</v>
      </c>
      <c r="I105" s="4">
        <v>2</v>
      </c>
      <c r="J105" s="4">
        <v>422</v>
      </c>
      <c r="K105" s="4">
        <v>5</v>
      </c>
      <c r="L105" s="3" t="s">
        <v>534</v>
      </c>
      <c r="M105" s="3" t="s">
        <v>94</v>
      </c>
      <c r="N105" s="3" t="s">
        <v>25</v>
      </c>
      <c r="O105" s="3" t="s">
        <v>53</v>
      </c>
      <c r="P105" s="8">
        <v>1</v>
      </c>
    </row>
    <row r="106" spans="1:16" x14ac:dyDescent="0.3">
      <c r="A106" s="6">
        <v>10103</v>
      </c>
      <c r="B106" s="3" t="s">
        <v>722</v>
      </c>
      <c r="C106" s="3" t="s">
        <v>458</v>
      </c>
      <c r="D106" s="3" t="s">
        <v>1366</v>
      </c>
      <c r="E106" s="3" t="s">
        <v>74</v>
      </c>
      <c r="F106" s="3" t="s">
        <v>326</v>
      </c>
      <c r="G106" s="3" t="s">
        <v>151</v>
      </c>
      <c r="H106" s="3" t="s">
        <v>143</v>
      </c>
      <c r="I106" s="4">
        <v>4</v>
      </c>
      <c r="J106" s="4">
        <v>372</v>
      </c>
      <c r="K106" s="4">
        <v>10</v>
      </c>
      <c r="L106" s="3" t="s">
        <v>1367</v>
      </c>
      <c r="M106" s="3" t="s">
        <v>43</v>
      </c>
      <c r="N106" s="3" t="s">
        <v>70</v>
      </c>
      <c r="O106" s="3" t="s">
        <v>34</v>
      </c>
      <c r="P106" s="8"/>
    </row>
    <row r="107" spans="1:16" x14ac:dyDescent="0.3">
      <c r="A107" s="5">
        <v>10104</v>
      </c>
      <c r="B107" s="1" t="s">
        <v>484</v>
      </c>
      <c r="C107" s="1" t="s">
        <v>485</v>
      </c>
      <c r="D107" s="1"/>
      <c r="E107" s="1" t="s">
        <v>117</v>
      </c>
      <c r="F107" s="1" t="s">
        <v>111</v>
      </c>
      <c r="G107" s="1" t="s">
        <v>407</v>
      </c>
      <c r="H107" s="1" t="s">
        <v>83</v>
      </c>
      <c r="I107" s="2">
        <v>2</v>
      </c>
      <c r="J107" s="2">
        <v>25809</v>
      </c>
      <c r="K107" s="2">
        <v>10</v>
      </c>
      <c r="L107" s="1" t="s">
        <v>1148</v>
      </c>
      <c r="M107" s="1" t="s">
        <v>78</v>
      </c>
      <c r="N107" s="1" t="s">
        <v>25</v>
      </c>
      <c r="O107" s="1" t="s">
        <v>53</v>
      </c>
      <c r="P107" s="7">
        <v>1</v>
      </c>
    </row>
    <row r="108" spans="1:16" x14ac:dyDescent="0.3">
      <c r="A108" s="6">
        <v>10105</v>
      </c>
      <c r="B108" s="3" t="s">
        <v>639</v>
      </c>
      <c r="C108" s="3" t="s">
        <v>640</v>
      </c>
      <c r="D108" s="3" t="s">
        <v>641</v>
      </c>
      <c r="E108" s="3" t="s">
        <v>97</v>
      </c>
      <c r="F108" s="3" t="s">
        <v>98</v>
      </c>
      <c r="G108" s="3" t="s">
        <v>642</v>
      </c>
      <c r="H108" s="3" t="s">
        <v>22</v>
      </c>
      <c r="I108" s="4">
        <v>1</v>
      </c>
      <c r="J108" s="4">
        <v>1406</v>
      </c>
      <c r="K108" s="4"/>
      <c r="L108" s="3" t="s">
        <v>643</v>
      </c>
      <c r="M108" s="3" t="s">
        <v>78</v>
      </c>
      <c r="N108" s="3" t="s">
        <v>25</v>
      </c>
      <c r="O108" s="3"/>
      <c r="P108" s="8">
        <v>3</v>
      </c>
    </row>
    <row r="109" spans="1:16" x14ac:dyDescent="0.3">
      <c r="A109" s="5">
        <v>10106</v>
      </c>
      <c r="B109" s="1" t="s">
        <v>442</v>
      </c>
      <c r="C109" s="1" t="s">
        <v>443</v>
      </c>
      <c r="D109" s="1" t="s">
        <v>1518</v>
      </c>
      <c r="E109" s="1" t="s">
        <v>343</v>
      </c>
      <c r="F109" s="1" t="s">
        <v>50</v>
      </c>
      <c r="G109" s="1" t="s">
        <v>478</v>
      </c>
      <c r="H109" s="1" t="s">
        <v>83</v>
      </c>
      <c r="I109" s="2">
        <v>4</v>
      </c>
      <c r="J109" s="2">
        <v>60267</v>
      </c>
      <c r="K109" s="2">
        <v>5</v>
      </c>
      <c r="L109" s="1" t="s">
        <v>1519</v>
      </c>
      <c r="M109" s="1" t="s">
        <v>43</v>
      </c>
      <c r="N109" s="1" t="s">
        <v>70</v>
      </c>
      <c r="O109" s="1" t="s">
        <v>71</v>
      </c>
      <c r="P109" s="7">
        <v>1</v>
      </c>
    </row>
    <row r="110" spans="1:16" x14ac:dyDescent="0.3">
      <c r="A110" s="6">
        <v>10107</v>
      </c>
      <c r="B110" s="3" t="s">
        <v>716</v>
      </c>
      <c r="C110" s="3" t="s">
        <v>717</v>
      </c>
      <c r="D110" s="3" t="s">
        <v>718</v>
      </c>
      <c r="E110" s="3" t="s">
        <v>219</v>
      </c>
      <c r="F110" s="3" t="s">
        <v>66</v>
      </c>
      <c r="G110" s="3" t="s">
        <v>533</v>
      </c>
      <c r="H110" s="3" t="s">
        <v>22</v>
      </c>
      <c r="I110" s="4">
        <v>1</v>
      </c>
      <c r="J110" s="4">
        <v>881</v>
      </c>
      <c r="K110" s="4">
        <v>10</v>
      </c>
      <c r="L110" s="3" t="s">
        <v>719</v>
      </c>
      <c r="M110" s="3" t="s">
        <v>43</v>
      </c>
      <c r="N110" s="3" t="s">
        <v>25</v>
      </c>
      <c r="O110" s="3" t="s">
        <v>45</v>
      </c>
      <c r="P110" s="8">
        <v>2</v>
      </c>
    </row>
    <row r="111" spans="1:16" x14ac:dyDescent="0.3">
      <c r="A111" s="6">
        <v>10108</v>
      </c>
      <c r="B111" s="3" t="s">
        <v>295</v>
      </c>
      <c r="C111" s="3" t="s">
        <v>134</v>
      </c>
      <c r="D111" s="3" t="s">
        <v>1155</v>
      </c>
      <c r="E111" s="3" t="s">
        <v>279</v>
      </c>
      <c r="F111" s="3" t="s">
        <v>141</v>
      </c>
      <c r="G111" s="3" t="s">
        <v>860</v>
      </c>
      <c r="H111" s="3" t="s">
        <v>83</v>
      </c>
      <c r="I111" s="4">
        <v>2</v>
      </c>
      <c r="J111" s="4">
        <v>22482</v>
      </c>
      <c r="K111" s="4">
        <v>20</v>
      </c>
      <c r="L111" s="3" t="s">
        <v>1156</v>
      </c>
      <c r="M111" s="3" t="s">
        <v>24</v>
      </c>
      <c r="N111" s="3" t="s">
        <v>70</v>
      </c>
      <c r="O111" s="3" t="s">
        <v>71</v>
      </c>
      <c r="P111" s="8"/>
    </row>
    <row r="112" spans="1:16" x14ac:dyDescent="0.3">
      <c r="A112" s="6">
        <v>10109</v>
      </c>
      <c r="B112" s="3" t="s">
        <v>546</v>
      </c>
      <c r="C112" s="3" t="s">
        <v>301</v>
      </c>
      <c r="D112" s="3" t="s">
        <v>1538</v>
      </c>
      <c r="E112" s="3" t="s">
        <v>172</v>
      </c>
      <c r="F112" s="3" t="s">
        <v>150</v>
      </c>
      <c r="G112" s="3" t="s">
        <v>198</v>
      </c>
      <c r="H112" s="3" t="s">
        <v>41</v>
      </c>
      <c r="I112" s="4">
        <v>2</v>
      </c>
      <c r="J112" s="4">
        <v>221</v>
      </c>
      <c r="K112" s="4">
        <v>5</v>
      </c>
      <c r="L112" s="3" t="s">
        <v>1539</v>
      </c>
      <c r="M112" s="3" t="s">
        <v>69</v>
      </c>
      <c r="N112" s="3" t="s">
        <v>33</v>
      </c>
      <c r="O112" s="3" t="s">
        <v>53</v>
      </c>
      <c r="P112" s="8">
        <v>4</v>
      </c>
    </row>
    <row r="113" spans="1:16" x14ac:dyDescent="0.3">
      <c r="A113" s="5">
        <v>10110</v>
      </c>
      <c r="B113" s="1" t="s">
        <v>1083</v>
      </c>
      <c r="C113" s="1" t="s">
        <v>729</v>
      </c>
      <c r="D113" s="1" t="s">
        <v>1404</v>
      </c>
      <c r="E113" s="1" t="s">
        <v>38</v>
      </c>
      <c r="F113" s="1" t="s">
        <v>1252</v>
      </c>
      <c r="G113" s="1" t="s">
        <v>106</v>
      </c>
      <c r="H113" s="1" t="s">
        <v>83</v>
      </c>
      <c r="I113" s="2">
        <v>1</v>
      </c>
      <c r="J113" s="2">
        <v>8700</v>
      </c>
      <c r="K113" s="2">
        <v>10</v>
      </c>
      <c r="L113" s="1" t="s">
        <v>597</v>
      </c>
      <c r="M113" s="1" t="s">
        <v>78</v>
      </c>
      <c r="N113" s="1" t="s">
        <v>33</v>
      </c>
      <c r="O113" s="1" t="s">
        <v>45</v>
      </c>
      <c r="P113" s="7">
        <v>2</v>
      </c>
    </row>
    <row r="114" spans="1:16" x14ac:dyDescent="0.3">
      <c r="A114" s="5">
        <v>10111</v>
      </c>
      <c r="B114" s="1" t="s">
        <v>158</v>
      </c>
      <c r="C114" s="1" t="s">
        <v>829</v>
      </c>
      <c r="D114" s="1" t="s">
        <v>830</v>
      </c>
      <c r="E114" s="1" t="s">
        <v>197</v>
      </c>
      <c r="F114" s="1" t="s">
        <v>191</v>
      </c>
      <c r="G114" s="1" t="s">
        <v>167</v>
      </c>
      <c r="H114" s="1" t="s">
        <v>143</v>
      </c>
      <c r="I114" s="2">
        <v>5</v>
      </c>
      <c r="J114" s="2">
        <v>218</v>
      </c>
      <c r="K114" s="2">
        <v>20</v>
      </c>
      <c r="L114" s="1" t="s">
        <v>831</v>
      </c>
      <c r="M114" s="1" t="s">
        <v>43</v>
      </c>
      <c r="N114" s="1" t="s">
        <v>25</v>
      </c>
      <c r="O114" s="1"/>
      <c r="P114" s="7">
        <v>4</v>
      </c>
    </row>
    <row r="115" spans="1:16" x14ac:dyDescent="0.3">
      <c r="A115" s="5">
        <v>10112</v>
      </c>
      <c r="B115" s="1" t="s">
        <v>1093</v>
      </c>
      <c r="C115" s="1"/>
      <c r="D115" s="1" t="s">
        <v>1592</v>
      </c>
      <c r="E115" s="1" t="s">
        <v>343</v>
      </c>
      <c r="F115" s="1" t="s">
        <v>50</v>
      </c>
      <c r="G115" s="1" t="s">
        <v>298</v>
      </c>
      <c r="H115" s="1" t="s">
        <v>22</v>
      </c>
      <c r="I115" s="2">
        <v>2</v>
      </c>
      <c r="J115" s="2">
        <v>918</v>
      </c>
      <c r="K115" s="2">
        <v>0</v>
      </c>
      <c r="L115" s="1" t="s">
        <v>967</v>
      </c>
      <c r="M115" s="1" t="s">
        <v>24</v>
      </c>
      <c r="N115" s="1" t="s">
        <v>25</v>
      </c>
      <c r="O115" s="1" t="s">
        <v>71</v>
      </c>
      <c r="P115" s="7">
        <v>4</v>
      </c>
    </row>
    <row r="116" spans="1:16" x14ac:dyDescent="0.3">
      <c r="A116" s="6">
        <v>10113</v>
      </c>
      <c r="B116" s="3" t="s">
        <v>707</v>
      </c>
      <c r="C116" s="3" t="s">
        <v>708</v>
      </c>
      <c r="D116" s="3" t="s">
        <v>709</v>
      </c>
      <c r="E116" s="3" t="s">
        <v>279</v>
      </c>
      <c r="F116" s="3" t="s">
        <v>259</v>
      </c>
      <c r="G116" s="3" t="s">
        <v>710</v>
      </c>
      <c r="H116" s="3" t="s">
        <v>22</v>
      </c>
      <c r="I116" s="4">
        <v>2</v>
      </c>
      <c r="J116" s="4">
        <v>522</v>
      </c>
      <c r="K116" s="4">
        <v>15</v>
      </c>
      <c r="L116" s="3" t="s">
        <v>711</v>
      </c>
      <c r="M116" s="3" t="s">
        <v>101</v>
      </c>
      <c r="N116" s="3" t="s">
        <v>25</v>
      </c>
      <c r="O116" s="3" t="s">
        <v>71</v>
      </c>
      <c r="P116" s="8">
        <v>2</v>
      </c>
    </row>
    <row r="117" spans="1:16" x14ac:dyDescent="0.3">
      <c r="A117" s="6">
        <v>10114</v>
      </c>
      <c r="B117" s="3" t="s">
        <v>594</v>
      </c>
      <c r="C117" s="3" t="s">
        <v>502</v>
      </c>
      <c r="D117" s="3" t="s">
        <v>1593</v>
      </c>
      <c r="E117" s="3" t="s">
        <v>371</v>
      </c>
      <c r="F117" s="3" t="s">
        <v>1594</v>
      </c>
      <c r="G117" s="3" t="s">
        <v>21</v>
      </c>
      <c r="H117" s="3" t="s">
        <v>22</v>
      </c>
      <c r="I117" s="4">
        <v>1</v>
      </c>
      <c r="J117" s="4">
        <v>816</v>
      </c>
      <c r="K117" s="4">
        <v>15</v>
      </c>
      <c r="L117" s="3" t="s">
        <v>1595</v>
      </c>
      <c r="M117" s="3" t="s">
        <v>69</v>
      </c>
      <c r="N117" s="3" t="s">
        <v>70</v>
      </c>
      <c r="O117" s="3"/>
      <c r="P117" s="8">
        <v>1</v>
      </c>
    </row>
    <row r="118" spans="1:16" x14ac:dyDescent="0.3">
      <c r="A118" s="6">
        <v>10115</v>
      </c>
      <c r="B118" s="3" t="s">
        <v>1477</v>
      </c>
      <c r="C118" s="3" t="s">
        <v>1076</v>
      </c>
      <c r="D118" s="3" t="s">
        <v>1478</v>
      </c>
      <c r="E118" s="3" t="s">
        <v>117</v>
      </c>
      <c r="F118" s="3" t="s">
        <v>1479</v>
      </c>
      <c r="G118" s="3" t="s">
        <v>454</v>
      </c>
      <c r="H118" s="3" t="s">
        <v>83</v>
      </c>
      <c r="I118" s="4">
        <v>5</v>
      </c>
      <c r="J118" s="4">
        <v>3856</v>
      </c>
      <c r="K118" s="4"/>
      <c r="L118" s="3" t="s">
        <v>498</v>
      </c>
      <c r="M118" s="3" t="s">
        <v>43</v>
      </c>
      <c r="N118" s="3" t="s">
        <v>70</v>
      </c>
      <c r="O118" s="3" t="s">
        <v>71</v>
      </c>
      <c r="P118" s="8">
        <v>2</v>
      </c>
    </row>
    <row r="119" spans="1:16" x14ac:dyDescent="0.3">
      <c r="A119" s="6">
        <v>10116</v>
      </c>
      <c r="B119" s="3" t="s">
        <v>404</v>
      </c>
      <c r="C119" s="3" t="s">
        <v>405</v>
      </c>
      <c r="D119" s="3" t="s">
        <v>512</v>
      </c>
      <c r="E119" s="3" t="s">
        <v>57</v>
      </c>
      <c r="F119" s="3" t="s">
        <v>20</v>
      </c>
      <c r="G119" s="3" t="s">
        <v>21</v>
      </c>
      <c r="H119" s="3" t="s">
        <v>22</v>
      </c>
      <c r="I119" s="4">
        <v>5</v>
      </c>
      <c r="J119" s="4">
        <v>800</v>
      </c>
      <c r="K119" s="4">
        <v>5</v>
      </c>
      <c r="L119" s="3" t="s">
        <v>513</v>
      </c>
      <c r="M119" s="3" t="s">
        <v>32</v>
      </c>
      <c r="N119" s="3" t="s">
        <v>44</v>
      </c>
      <c r="O119" s="3" t="s">
        <v>174</v>
      </c>
      <c r="P119" s="8">
        <v>5</v>
      </c>
    </row>
    <row r="120" spans="1:16" x14ac:dyDescent="0.3">
      <c r="A120" s="5">
        <v>10117</v>
      </c>
      <c r="B120" s="1" t="s">
        <v>943</v>
      </c>
      <c r="C120" s="1" t="s">
        <v>432</v>
      </c>
      <c r="D120" s="1" t="s">
        <v>944</v>
      </c>
      <c r="E120" s="1" t="s">
        <v>308</v>
      </c>
      <c r="F120" s="1" t="s">
        <v>111</v>
      </c>
      <c r="G120" s="1" t="s">
        <v>454</v>
      </c>
      <c r="H120" s="1" t="s">
        <v>83</v>
      </c>
      <c r="I120" s="2">
        <v>5</v>
      </c>
      <c r="J120" s="2">
        <v>3269</v>
      </c>
      <c r="K120" s="2"/>
      <c r="L120" s="1" t="s">
        <v>945</v>
      </c>
      <c r="M120" s="1" t="s">
        <v>78</v>
      </c>
      <c r="N120" s="1" t="s">
        <v>70</v>
      </c>
      <c r="O120" s="1" t="s">
        <v>34</v>
      </c>
      <c r="P120" s="7">
        <v>1</v>
      </c>
    </row>
    <row r="121" spans="1:16" x14ac:dyDescent="0.3">
      <c r="A121" s="6">
        <v>10118</v>
      </c>
      <c r="B121" s="3" t="s">
        <v>1224</v>
      </c>
      <c r="C121" s="3" t="s">
        <v>496</v>
      </c>
      <c r="D121" s="3" t="s">
        <v>1225</v>
      </c>
      <c r="E121" s="3" t="s">
        <v>317</v>
      </c>
      <c r="F121" s="3" t="s">
        <v>362</v>
      </c>
      <c r="G121" s="3" t="s">
        <v>1226</v>
      </c>
      <c r="H121" s="3" t="s">
        <v>41</v>
      </c>
      <c r="I121" s="4">
        <v>3</v>
      </c>
      <c r="J121" s="4">
        <v>215</v>
      </c>
      <c r="K121" s="4"/>
      <c r="L121" s="3" t="s">
        <v>1227</v>
      </c>
      <c r="M121" s="3" t="s">
        <v>78</v>
      </c>
      <c r="N121" s="3" t="s">
        <v>456</v>
      </c>
      <c r="O121" s="3" t="s">
        <v>45</v>
      </c>
      <c r="P121" s="8">
        <v>5</v>
      </c>
    </row>
    <row r="122" spans="1:16" x14ac:dyDescent="0.3">
      <c r="A122" s="5">
        <v>10119</v>
      </c>
      <c r="B122" s="1" t="s">
        <v>654</v>
      </c>
      <c r="C122" s="1" t="s">
        <v>655</v>
      </c>
      <c r="D122" s="1" t="s">
        <v>720</v>
      </c>
      <c r="E122" s="1" t="s">
        <v>197</v>
      </c>
      <c r="F122" s="1" t="s">
        <v>191</v>
      </c>
      <c r="G122" s="1" t="s">
        <v>280</v>
      </c>
      <c r="H122" s="1" t="s">
        <v>41</v>
      </c>
      <c r="I122" s="2">
        <v>2</v>
      </c>
      <c r="J122" s="2">
        <v>82</v>
      </c>
      <c r="K122" s="2">
        <v>10</v>
      </c>
      <c r="L122" s="1" t="s">
        <v>721</v>
      </c>
      <c r="M122" s="1" t="s">
        <v>94</v>
      </c>
      <c r="N122" s="1" t="s">
        <v>25</v>
      </c>
      <c r="O122" s="1" t="s">
        <v>174</v>
      </c>
      <c r="P122" s="7"/>
    </row>
    <row r="123" spans="1:16" x14ac:dyDescent="0.3">
      <c r="A123" s="6">
        <v>10120</v>
      </c>
      <c r="B123" s="3" t="s">
        <v>858</v>
      </c>
      <c r="C123" s="3" t="s">
        <v>471</v>
      </c>
      <c r="D123" s="3" t="s">
        <v>859</v>
      </c>
      <c r="E123" s="3" t="s">
        <v>140</v>
      </c>
      <c r="F123" s="3" t="s">
        <v>776</v>
      </c>
      <c r="G123" s="3" t="s">
        <v>860</v>
      </c>
      <c r="H123" s="3" t="s">
        <v>83</v>
      </c>
      <c r="I123" s="4">
        <v>4</v>
      </c>
      <c r="J123" s="4">
        <v>18293</v>
      </c>
      <c r="K123" s="4">
        <v>10</v>
      </c>
      <c r="L123" s="3" t="s">
        <v>861</v>
      </c>
      <c r="M123" s="3" t="s">
        <v>560</v>
      </c>
      <c r="N123" s="3" t="s">
        <v>44</v>
      </c>
      <c r="O123" s="3" t="s">
        <v>53</v>
      </c>
      <c r="P123" s="8">
        <v>1</v>
      </c>
    </row>
    <row r="124" spans="1:16" x14ac:dyDescent="0.3">
      <c r="A124" s="6">
        <v>10121</v>
      </c>
      <c r="B124" s="3" t="s">
        <v>510</v>
      </c>
      <c r="C124" s="3"/>
      <c r="D124" s="3" t="s">
        <v>1586</v>
      </c>
      <c r="E124" s="3" t="s">
        <v>74</v>
      </c>
      <c r="F124" s="3" t="s">
        <v>876</v>
      </c>
      <c r="G124" s="3" t="s">
        <v>142</v>
      </c>
      <c r="H124" s="3" t="s">
        <v>143</v>
      </c>
      <c r="I124" s="4">
        <v>5</v>
      </c>
      <c r="J124" s="4">
        <v>839</v>
      </c>
      <c r="K124" s="4">
        <v>15</v>
      </c>
      <c r="L124" s="3" t="s">
        <v>1587</v>
      </c>
      <c r="M124" s="3" t="s">
        <v>78</v>
      </c>
      <c r="N124" s="3" t="s">
        <v>25</v>
      </c>
      <c r="O124" s="3" t="s">
        <v>53</v>
      </c>
      <c r="P124" s="8">
        <v>1</v>
      </c>
    </row>
    <row r="125" spans="1:16" x14ac:dyDescent="0.3">
      <c r="A125" s="6">
        <v>10122</v>
      </c>
      <c r="B125" s="3" t="s">
        <v>878</v>
      </c>
      <c r="C125" s="3" t="s">
        <v>879</v>
      </c>
      <c r="D125" s="3" t="s">
        <v>880</v>
      </c>
      <c r="E125" s="3" t="s">
        <v>247</v>
      </c>
      <c r="F125" s="3" t="s">
        <v>881</v>
      </c>
      <c r="G125" s="3" t="s">
        <v>642</v>
      </c>
      <c r="H125" s="3" t="s">
        <v>22</v>
      </c>
      <c r="I125" s="4">
        <v>2</v>
      </c>
      <c r="J125" s="4">
        <v>1280</v>
      </c>
      <c r="K125" s="4"/>
      <c r="L125" s="3" t="s">
        <v>882</v>
      </c>
      <c r="M125" s="3" t="s">
        <v>560</v>
      </c>
      <c r="N125" s="3" t="s">
        <v>70</v>
      </c>
      <c r="O125" s="3" t="s">
        <v>45</v>
      </c>
      <c r="P125" s="8"/>
    </row>
    <row r="126" spans="1:16" x14ac:dyDescent="0.3">
      <c r="A126" s="6">
        <v>10123</v>
      </c>
      <c r="B126" s="3" t="s">
        <v>1211</v>
      </c>
      <c r="C126" s="3" t="s">
        <v>365</v>
      </c>
      <c r="D126" s="3" t="s">
        <v>1422</v>
      </c>
      <c r="E126" s="3" t="s">
        <v>532</v>
      </c>
      <c r="F126" s="3" t="s">
        <v>150</v>
      </c>
      <c r="G126" s="3" t="s">
        <v>161</v>
      </c>
      <c r="H126" s="3" t="s">
        <v>83</v>
      </c>
      <c r="I126" s="4">
        <v>5</v>
      </c>
      <c r="J126" s="4">
        <v>18107</v>
      </c>
      <c r="K126" s="4">
        <v>5</v>
      </c>
      <c r="L126" s="3" t="s">
        <v>1423</v>
      </c>
      <c r="M126" s="3" t="s">
        <v>78</v>
      </c>
      <c r="N126" s="3" t="s">
        <v>33</v>
      </c>
      <c r="O126" s="3" t="s">
        <v>71</v>
      </c>
      <c r="P126" s="8"/>
    </row>
    <row r="127" spans="1:16" x14ac:dyDescent="0.3">
      <c r="A127" s="5">
        <v>10124</v>
      </c>
      <c r="B127" s="1" t="s">
        <v>1055</v>
      </c>
      <c r="C127" s="1" t="s">
        <v>1056</v>
      </c>
      <c r="D127" s="1" t="s">
        <v>1057</v>
      </c>
      <c r="E127" s="1" t="s">
        <v>74</v>
      </c>
      <c r="F127" s="1" t="s">
        <v>75</v>
      </c>
      <c r="G127" s="1" t="s">
        <v>179</v>
      </c>
      <c r="H127" s="1" t="s">
        <v>60</v>
      </c>
      <c r="I127" s="2">
        <v>2</v>
      </c>
      <c r="J127" s="2">
        <v>411</v>
      </c>
      <c r="K127" s="2">
        <v>0</v>
      </c>
      <c r="L127" s="1" t="s">
        <v>1058</v>
      </c>
      <c r="M127" s="1" t="s">
        <v>560</v>
      </c>
      <c r="N127" s="1" t="s">
        <v>70</v>
      </c>
      <c r="O127" s="1" t="s">
        <v>71</v>
      </c>
      <c r="P127" s="7">
        <v>3</v>
      </c>
    </row>
    <row r="128" spans="1:16" x14ac:dyDescent="0.3">
      <c r="A128" s="6">
        <v>10125</v>
      </c>
      <c r="B128" s="3" t="s">
        <v>46</v>
      </c>
      <c r="C128" s="3" t="s">
        <v>47</v>
      </c>
      <c r="D128" s="3" t="s">
        <v>48</v>
      </c>
      <c r="E128" s="3" t="s">
        <v>49</v>
      </c>
      <c r="F128" s="3" t="s">
        <v>50</v>
      </c>
      <c r="G128" s="3" t="s">
        <v>51</v>
      </c>
      <c r="H128" s="3" t="s">
        <v>22</v>
      </c>
      <c r="I128" s="4">
        <v>3</v>
      </c>
      <c r="J128" s="4">
        <v>1842</v>
      </c>
      <c r="K128" s="4">
        <v>5</v>
      </c>
      <c r="L128" s="3" t="s">
        <v>52</v>
      </c>
      <c r="M128" s="3" t="s">
        <v>24</v>
      </c>
      <c r="N128" s="3" t="s">
        <v>33</v>
      </c>
      <c r="O128" s="3" t="s">
        <v>53</v>
      </c>
      <c r="P128" s="8">
        <v>3</v>
      </c>
    </row>
    <row r="129" spans="1:16" x14ac:dyDescent="0.3">
      <c r="A129" s="5">
        <v>10125</v>
      </c>
      <c r="B129" s="1" t="s">
        <v>46</v>
      </c>
      <c r="C129" s="1" t="s">
        <v>47</v>
      </c>
      <c r="D129" s="1" t="s">
        <v>48</v>
      </c>
      <c r="E129" s="1" t="s">
        <v>49</v>
      </c>
      <c r="F129" s="1" t="s">
        <v>50</v>
      </c>
      <c r="G129" s="1" t="s">
        <v>51</v>
      </c>
      <c r="H129" s="1" t="s">
        <v>22</v>
      </c>
      <c r="I129" s="2">
        <v>3</v>
      </c>
      <c r="J129" s="2">
        <v>1842</v>
      </c>
      <c r="K129" s="2">
        <v>5</v>
      </c>
      <c r="L129" s="1" t="s">
        <v>52</v>
      </c>
      <c r="M129" s="1" t="s">
        <v>24</v>
      </c>
      <c r="N129" s="1" t="s">
        <v>33</v>
      </c>
      <c r="O129" s="1" t="s">
        <v>53</v>
      </c>
      <c r="P129" s="7">
        <v>3</v>
      </c>
    </row>
    <row r="130" spans="1:16" x14ac:dyDescent="0.3">
      <c r="A130" s="6">
        <v>10126</v>
      </c>
      <c r="B130" s="3" t="s">
        <v>1087</v>
      </c>
      <c r="C130" s="3" t="s">
        <v>415</v>
      </c>
      <c r="D130" s="3" t="s">
        <v>1088</v>
      </c>
      <c r="E130" s="3" t="s">
        <v>391</v>
      </c>
      <c r="F130" s="3" t="s">
        <v>90</v>
      </c>
      <c r="G130" s="3" t="s">
        <v>21</v>
      </c>
      <c r="H130" s="3" t="s">
        <v>22</v>
      </c>
      <c r="I130" s="4">
        <v>4</v>
      </c>
      <c r="J130" s="4">
        <v>1111</v>
      </c>
      <c r="K130" s="4"/>
      <c r="L130" s="3" t="s">
        <v>1089</v>
      </c>
      <c r="M130" s="3" t="s">
        <v>560</v>
      </c>
      <c r="N130" s="3" t="s">
        <v>25</v>
      </c>
      <c r="O130" s="3"/>
      <c r="P130" s="8">
        <v>3</v>
      </c>
    </row>
    <row r="131" spans="1:16" x14ac:dyDescent="0.3">
      <c r="A131" s="6">
        <v>10127</v>
      </c>
      <c r="B131" s="3" t="s">
        <v>419</v>
      </c>
      <c r="C131" s="3"/>
      <c r="D131" s="3" t="s">
        <v>420</v>
      </c>
      <c r="E131" s="3" t="s">
        <v>184</v>
      </c>
      <c r="F131" s="3" t="s">
        <v>105</v>
      </c>
      <c r="G131" s="3" t="s">
        <v>167</v>
      </c>
      <c r="H131" s="3" t="s">
        <v>143</v>
      </c>
      <c r="I131" s="4">
        <v>2</v>
      </c>
      <c r="J131" s="4">
        <v>354</v>
      </c>
      <c r="K131" s="4">
        <v>10</v>
      </c>
      <c r="L131" s="3" t="s">
        <v>421</v>
      </c>
      <c r="M131" s="3" t="s">
        <v>24</v>
      </c>
      <c r="N131" s="3" t="s">
        <v>25</v>
      </c>
      <c r="O131" s="3" t="s">
        <v>53</v>
      </c>
      <c r="P131" s="8"/>
    </row>
    <row r="132" spans="1:16" x14ac:dyDescent="0.3">
      <c r="A132" s="5">
        <v>10128</v>
      </c>
      <c r="B132" s="1" t="s">
        <v>72</v>
      </c>
      <c r="C132" s="1"/>
      <c r="D132" s="1" t="s">
        <v>73</v>
      </c>
      <c r="E132" s="1" t="s">
        <v>74</v>
      </c>
      <c r="F132" s="1" t="s">
        <v>75</v>
      </c>
      <c r="G132" s="1" t="s">
        <v>76</v>
      </c>
      <c r="H132" s="1" t="s">
        <v>41</v>
      </c>
      <c r="I132" s="2">
        <v>3</v>
      </c>
      <c r="J132" s="2">
        <v>115</v>
      </c>
      <c r="K132" s="2">
        <v>5</v>
      </c>
      <c r="L132" s="1" t="s">
        <v>77</v>
      </c>
      <c r="M132" s="1" t="s">
        <v>78</v>
      </c>
      <c r="N132" s="1" t="s">
        <v>25</v>
      </c>
      <c r="O132" s="1" t="s">
        <v>53</v>
      </c>
      <c r="P132" s="7">
        <v>3</v>
      </c>
    </row>
    <row r="133" spans="1:16" x14ac:dyDescent="0.3">
      <c r="A133" s="6">
        <v>10129</v>
      </c>
      <c r="B133" s="3" t="s">
        <v>1315</v>
      </c>
      <c r="C133" s="3" t="s">
        <v>1316</v>
      </c>
      <c r="D133" s="3" t="s">
        <v>1317</v>
      </c>
      <c r="E133" s="3" t="s">
        <v>1318</v>
      </c>
      <c r="F133" s="3" t="s">
        <v>150</v>
      </c>
      <c r="G133" s="3" t="s">
        <v>375</v>
      </c>
      <c r="H133" s="3" t="s">
        <v>83</v>
      </c>
      <c r="I133" s="4">
        <v>4</v>
      </c>
      <c r="J133" s="4">
        <v>20758</v>
      </c>
      <c r="K133" s="4">
        <v>20</v>
      </c>
      <c r="L133" s="3" t="s">
        <v>450</v>
      </c>
      <c r="M133" s="3" t="s">
        <v>145</v>
      </c>
      <c r="N133" s="3" t="s">
        <v>25</v>
      </c>
      <c r="O133" s="3" t="s">
        <v>174</v>
      </c>
      <c r="P133" s="8"/>
    </row>
    <row r="134" spans="1:16" x14ac:dyDescent="0.3">
      <c r="A134" s="5">
        <v>10130</v>
      </c>
      <c r="B134" s="1" t="s">
        <v>360</v>
      </c>
      <c r="C134" s="1" t="s">
        <v>315</v>
      </c>
      <c r="D134" s="1" t="s">
        <v>1290</v>
      </c>
      <c r="E134" s="1" t="s">
        <v>172</v>
      </c>
      <c r="F134" s="1" t="s">
        <v>354</v>
      </c>
      <c r="G134" s="1" t="s">
        <v>411</v>
      </c>
      <c r="H134" s="1" t="s">
        <v>83</v>
      </c>
      <c r="I134" s="2">
        <v>5</v>
      </c>
      <c r="J134" s="2">
        <v>62356</v>
      </c>
      <c r="K134" s="2"/>
      <c r="L134" s="1" t="s">
        <v>1291</v>
      </c>
      <c r="M134" s="1" t="s">
        <v>85</v>
      </c>
      <c r="N134" s="1" t="s">
        <v>25</v>
      </c>
      <c r="O134" s="1" t="s">
        <v>34</v>
      </c>
      <c r="P134" s="7">
        <v>3</v>
      </c>
    </row>
    <row r="135" spans="1:16" x14ac:dyDescent="0.3">
      <c r="A135" s="5">
        <v>10131</v>
      </c>
      <c r="B135" s="1" t="s">
        <v>1232</v>
      </c>
      <c r="C135" s="1" t="s">
        <v>708</v>
      </c>
      <c r="D135" s="1" t="s">
        <v>1233</v>
      </c>
      <c r="E135" s="1" t="s">
        <v>343</v>
      </c>
      <c r="F135" s="1" t="s">
        <v>20</v>
      </c>
      <c r="G135" s="1" t="s">
        <v>231</v>
      </c>
      <c r="H135" s="1" t="s">
        <v>83</v>
      </c>
      <c r="I135" s="2">
        <v>5</v>
      </c>
      <c r="J135" s="2">
        <v>1969</v>
      </c>
      <c r="K135" s="2"/>
      <c r="L135" s="1" t="s">
        <v>1234</v>
      </c>
      <c r="M135" s="1" t="s">
        <v>32</v>
      </c>
      <c r="N135" s="1" t="s">
        <v>119</v>
      </c>
      <c r="O135" s="1" t="s">
        <v>174</v>
      </c>
      <c r="P135" s="7">
        <v>5</v>
      </c>
    </row>
    <row r="136" spans="1:16" x14ac:dyDescent="0.3">
      <c r="A136" s="5">
        <v>10132</v>
      </c>
      <c r="B136" s="1" t="s">
        <v>1241</v>
      </c>
      <c r="C136" s="1" t="s">
        <v>891</v>
      </c>
      <c r="D136" s="1" t="s">
        <v>1242</v>
      </c>
      <c r="E136" s="1" t="s">
        <v>371</v>
      </c>
      <c r="F136" s="1" t="s">
        <v>98</v>
      </c>
      <c r="G136" s="1" t="s">
        <v>91</v>
      </c>
      <c r="H136" s="1" t="s">
        <v>92</v>
      </c>
      <c r="I136" s="2">
        <v>3</v>
      </c>
      <c r="J136" s="2">
        <v>2151</v>
      </c>
      <c r="K136" s="2">
        <v>0</v>
      </c>
      <c r="L136" s="1" t="s">
        <v>1243</v>
      </c>
      <c r="M136" s="1" t="s">
        <v>24</v>
      </c>
      <c r="N136" s="1" t="s">
        <v>25</v>
      </c>
      <c r="O136" s="1" t="s">
        <v>34</v>
      </c>
      <c r="P136" s="7">
        <v>4</v>
      </c>
    </row>
    <row r="137" spans="1:16" x14ac:dyDescent="0.3">
      <c r="A137" s="5">
        <v>10133</v>
      </c>
      <c r="B137" s="1" t="s">
        <v>1343</v>
      </c>
      <c r="C137" s="1" t="s">
        <v>632</v>
      </c>
      <c r="D137" s="1" t="s">
        <v>1344</v>
      </c>
      <c r="E137" s="1" t="s">
        <v>253</v>
      </c>
      <c r="F137" s="1" t="s">
        <v>50</v>
      </c>
      <c r="G137" s="1" t="s">
        <v>198</v>
      </c>
      <c r="H137" s="1" t="s">
        <v>41</v>
      </c>
      <c r="I137" s="2">
        <v>1</v>
      </c>
      <c r="J137" s="2">
        <v>258</v>
      </c>
      <c r="K137" s="2"/>
      <c r="L137" s="1" t="s">
        <v>1345</v>
      </c>
      <c r="M137" s="1" t="s">
        <v>94</v>
      </c>
      <c r="N137" s="1" t="s">
        <v>25</v>
      </c>
      <c r="O137" s="1" t="s">
        <v>45</v>
      </c>
      <c r="P137" s="7">
        <v>4</v>
      </c>
    </row>
    <row r="138" spans="1:16" x14ac:dyDescent="0.3">
      <c r="A138" s="6">
        <v>10134</v>
      </c>
      <c r="B138" s="3" t="s">
        <v>499</v>
      </c>
      <c r="C138" s="3" t="s">
        <v>121</v>
      </c>
      <c r="D138" s="3" t="s">
        <v>500</v>
      </c>
      <c r="E138" s="3" t="s">
        <v>197</v>
      </c>
      <c r="F138" s="3" t="s">
        <v>396</v>
      </c>
      <c r="G138" s="3" t="s">
        <v>99</v>
      </c>
      <c r="H138" s="3" t="s">
        <v>92</v>
      </c>
      <c r="I138" s="4">
        <v>3</v>
      </c>
      <c r="J138" s="4">
        <v>3884</v>
      </c>
      <c r="K138" s="4">
        <v>15</v>
      </c>
      <c r="L138" s="3" t="s">
        <v>501</v>
      </c>
      <c r="M138" s="3" t="s">
        <v>78</v>
      </c>
      <c r="N138" s="3" t="s">
        <v>25</v>
      </c>
      <c r="O138" s="3" t="s">
        <v>71</v>
      </c>
      <c r="P138" s="8">
        <v>5</v>
      </c>
    </row>
    <row r="139" spans="1:16" x14ac:dyDescent="0.3">
      <c r="A139" s="6">
        <v>10135</v>
      </c>
      <c r="B139" s="3" t="s">
        <v>712</v>
      </c>
      <c r="C139" s="3"/>
      <c r="D139" s="3" t="s">
        <v>782</v>
      </c>
      <c r="E139" s="3" t="s">
        <v>543</v>
      </c>
      <c r="F139" s="3" t="s">
        <v>429</v>
      </c>
      <c r="G139" s="3" t="s">
        <v>407</v>
      </c>
      <c r="H139" s="3" t="s">
        <v>83</v>
      </c>
      <c r="I139" s="4">
        <v>4</v>
      </c>
      <c r="J139" s="4">
        <v>23282</v>
      </c>
      <c r="K139" s="4">
        <v>5</v>
      </c>
      <c r="L139" s="3" t="s">
        <v>783</v>
      </c>
      <c r="M139" s="3" t="s">
        <v>94</v>
      </c>
      <c r="N139" s="3" t="s">
        <v>33</v>
      </c>
      <c r="O139" s="3" t="s">
        <v>174</v>
      </c>
      <c r="P139" s="8">
        <v>5</v>
      </c>
    </row>
    <row r="140" spans="1:16" x14ac:dyDescent="0.3">
      <c r="A140" s="5">
        <v>10136</v>
      </c>
      <c r="B140" s="1" t="s">
        <v>175</v>
      </c>
      <c r="C140" s="1" t="s">
        <v>176</v>
      </c>
      <c r="D140" s="1" t="s">
        <v>177</v>
      </c>
      <c r="E140" s="1" t="s">
        <v>178</v>
      </c>
      <c r="F140" s="1" t="s">
        <v>58</v>
      </c>
      <c r="G140" s="1" t="s">
        <v>179</v>
      </c>
      <c r="H140" s="1" t="s">
        <v>60</v>
      </c>
      <c r="I140" s="2">
        <v>2</v>
      </c>
      <c r="J140" s="2">
        <v>295</v>
      </c>
      <c r="K140" s="2">
        <v>0</v>
      </c>
      <c r="L140" s="1" t="s">
        <v>180</v>
      </c>
      <c r="M140" s="1" t="s">
        <v>145</v>
      </c>
      <c r="N140" s="1" t="s">
        <v>44</v>
      </c>
      <c r="O140" s="1" t="s">
        <v>174</v>
      </c>
      <c r="P140" s="7">
        <v>2</v>
      </c>
    </row>
    <row r="141" spans="1:16" x14ac:dyDescent="0.3">
      <c r="A141" s="6">
        <v>10137</v>
      </c>
      <c r="B141" s="3" t="s">
        <v>1375</v>
      </c>
      <c r="C141" s="3"/>
      <c r="D141" s="3" t="s">
        <v>1376</v>
      </c>
      <c r="E141" s="3" t="s">
        <v>104</v>
      </c>
      <c r="F141" s="3" t="s">
        <v>326</v>
      </c>
      <c r="G141" s="3" t="s">
        <v>198</v>
      </c>
      <c r="H141" s="3" t="s">
        <v>41</v>
      </c>
      <c r="I141" s="4">
        <v>3</v>
      </c>
      <c r="J141" s="4">
        <v>391</v>
      </c>
      <c r="K141" s="4"/>
      <c r="L141" s="3" t="s">
        <v>1377</v>
      </c>
      <c r="M141" s="3" t="s">
        <v>94</v>
      </c>
      <c r="N141" s="3" t="s">
        <v>25</v>
      </c>
      <c r="O141" s="3" t="s">
        <v>34</v>
      </c>
      <c r="P141" s="8">
        <v>1</v>
      </c>
    </row>
    <row r="142" spans="1:16" x14ac:dyDescent="0.3">
      <c r="A142" s="6">
        <v>10138</v>
      </c>
      <c r="B142" s="3" t="s">
        <v>329</v>
      </c>
      <c r="C142" s="3" t="s">
        <v>330</v>
      </c>
      <c r="D142" s="3" t="s">
        <v>331</v>
      </c>
      <c r="E142" s="3" t="s">
        <v>279</v>
      </c>
      <c r="F142" s="3" t="s">
        <v>332</v>
      </c>
      <c r="G142" s="3" t="s">
        <v>333</v>
      </c>
      <c r="H142" s="3" t="s">
        <v>92</v>
      </c>
      <c r="I142" s="4">
        <v>5</v>
      </c>
      <c r="J142" s="4">
        <v>2102</v>
      </c>
      <c r="K142" s="4"/>
      <c r="L142" s="3" t="s">
        <v>334</v>
      </c>
      <c r="M142" s="3" t="s">
        <v>186</v>
      </c>
      <c r="N142" s="3" t="s">
        <v>33</v>
      </c>
      <c r="O142" s="3" t="s">
        <v>174</v>
      </c>
      <c r="P142" s="8">
        <v>2</v>
      </c>
    </row>
    <row r="143" spans="1:16" x14ac:dyDescent="0.3">
      <c r="A143" s="5">
        <v>10139</v>
      </c>
      <c r="B143" s="1" t="s">
        <v>996</v>
      </c>
      <c r="C143" s="1" t="s">
        <v>997</v>
      </c>
      <c r="D143" s="1" t="s">
        <v>998</v>
      </c>
      <c r="E143" s="1" t="s">
        <v>473</v>
      </c>
      <c r="F143" s="1" t="s">
        <v>75</v>
      </c>
      <c r="G143" s="1" t="s">
        <v>231</v>
      </c>
      <c r="H143" s="1" t="s">
        <v>83</v>
      </c>
      <c r="I143" s="2">
        <v>3</v>
      </c>
      <c r="J143" s="2">
        <v>3737</v>
      </c>
      <c r="K143" s="2">
        <v>20</v>
      </c>
      <c r="L143" s="1" t="s">
        <v>999</v>
      </c>
      <c r="M143" s="1" t="s">
        <v>200</v>
      </c>
      <c r="N143" s="1" t="s">
        <v>25</v>
      </c>
      <c r="O143" s="1" t="s">
        <v>53</v>
      </c>
      <c r="P143" s="7">
        <v>5</v>
      </c>
    </row>
    <row r="144" spans="1:16" x14ac:dyDescent="0.3">
      <c r="A144" s="6">
        <v>10140</v>
      </c>
      <c r="B144" s="3" t="s">
        <v>1558</v>
      </c>
      <c r="C144" s="3" t="s">
        <v>1017</v>
      </c>
      <c r="D144" s="3" t="s">
        <v>1559</v>
      </c>
      <c r="E144" s="3" t="s">
        <v>592</v>
      </c>
      <c r="F144" s="3" t="s">
        <v>50</v>
      </c>
      <c r="G144" s="3" t="s">
        <v>1507</v>
      </c>
      <c r="H144" s="3" t="s">
        <v>22</v>
      </c>
      <c r="I144" s="4">
        <v>5</v>
      </c>
      <c r="J144" s="4">
        <v>407</v>
      </c>
      <c r="K144" s="4">
        <v>10</v>
      </c>
      <c r="L144" s="3" t="s">
        <v>1139</v>
      </c>
      <c r="M144" s="3" t="s">
        <v>78</v>
      </c>
      <c r="N144" s="3" t="s">
        <v>70</v>
      </c>
      <c r="O144" s="3" t="s">
        <v>34</v>
      </c>
      <c r="P144" s="8">
        <v>4</v>
      </c>
    </row>
    <row r="145" spans="1:16" x14ac:dyDescent="0.3">
      <c r="A145" s="6">
        <v>10141</v>
      </c>
      <c r="B145" s="3" t="s">
        <v>1351</v>
      </c>
      <c r="C145" s="3" t="s">
        <v>217</v>
      </c>
      <c r="D145" s="3" t="s">
        <v>1352</v>
      </c>
      <c r="E145" s="3" t="s">
        <v>184</v>
      </c>
      <c r="F145" s="3" t="s">
        <v>75</v>
      </c>
      <c r="G145" s="3" t="s">
        <v>333</v>
      </c>
      <c r="H145" s="3" t="s">
        <v>92</v>
      </c>
      <c r="I145" s="4">
        <v>1</v>
      </c>
      <c r="J145" s="4">
        <v>2550</v>
      </c>
      <c r="K145" s="4">
        <v>20</v>
      </c>
      <c r="L145" s="3" t="s">
        <v>1353</v>
      </c>
      <c r="M145" s="3" t="s">
        <v>200</v>
      </c>
      <c r="N145" s="3" t="s">
        <v>70</v>
      </c>
      <c r="O145" s="3" t="s">
        <v>71</v>
      </c>
      <c r="P145" s="8"/>
    </row>
    <row r="146" spans="1:16" x14ac:dyDescent="0.3">
      <c r="A146" s="6">
        <v>10142</v>
      </c>
      <c r="B146" s="3" t="s">
        <v>163</v>
      </c>
      <c r="C146" s="3" t="s">
        <v>164</v>
      </c>
      <c r="D146" s="3" t="s">
        <v>1530</v>
      </c>
      <c r="E146" s="3" t="s">
        <v>89</v>
      </c>
      <c r="F146" s="3" t="s">
        <v>1531</v>
      </c>
      <c r="G146" s="3" t="s">
        <v>151</v>
      </c>
      <c r="H146" s="3" t="s">
        <v>143</v>
      </c>
      <c r="I146" s="4">
        <v>1</v>
      </c>
      <c r="J146" s="4">
        <v>585</v>
      </c>
      <c r="K146" s="4">
        <v>10</v>
      </c>
      <c r="L146" s="3" t="s">
        <v>1391</v>
      </c>
      <c r="M146" s="3" t="s">
        <v>78</v>
      </c>
      <c r="N146" s="3" t="s">
        <v>25</v>
      </c>
      <c r="O146" s="3"/>
      <c r="P146" s="8">
        <v>2</v>
      </c>
    </row>
    <row r="147" spans="1:16" x14ac:dyDescent="0.3">
      <c r="A147" s="6">
        <v>10143</v>
      </c>
      <c r="B147" s="3" t="s">
        <v>692</v>
      </c>
      <c r="C147" s="3" t="s">
        <v>693</v>
      </c>
      <c r="D147" s="3" t="s">
        <v>694</v>
      </c>
      <c r="E147" s="3" t="s">
        <v>190</v>
      </c>
      <c r="F147" s="3" t="s">
        <v>396</v>
      </c>
      <c r="G147" s="3" t="s">
        <v>106</v>
      </c>
      <c r="H147" s="3" t="s">
        <v>83</v>
      </c>
      <c r="I147" s="4">
        <v>5</v>
      </c>
      <c r="J147" s="4">
        <v>13971</v>
      </c>
      <c r="K147" s="4"/>
      <c r="L147" s="3" t="s">
        <v>695</v>
      </c>
      <c r="M147" s="3" t="s">
        <v>24</v>
      </c>
      <c r="N147" s="3" t="s">
        <v>25</v>
      </c>
      <c r="O147" s="3" t="s">
        <v>71</v>
      </c>
      <c r="P147" s="8">
        <v>1</v>
      </c>
    </row>
    <row r="148" spans="1:16" x14ac:dyDescent="0.3">
      <c r="A148" s="5">
        <v>10144</v>
      </c>
      <c r="B148" s="1" t="s">
        <v>255</v>
      </c>
      <c r="C148" s="1" t="s">
        <v>256</v>
      </c>
      <c r="D148" s="1" t="s">
        <v>637</v>
      </c>
      <c r="E148" s="1" t="s">
        <v>89</v>
      </c>
      <c r="F148" s="1" t="s">
        <v>90</v>
      </c>
      <c r="G148" s="1" t="s">
        <v>82</v>
      </c>
      <c r="H148" s="1" t="s">
        <v>83</v>
      </c>
      <c r="I148" s="2">
        <v>4</v>
      </c>
      <c r="J148" s="2">
        <v>64226</v>
      </c>
      <c r="K148" s="2">
        <v>5</v>
      </c>
      <c r="L148" s="1" t="s">
        <v>638</v>
      </c>
      <c r="M148" s="1" t="s">
        <v>145</v>
      </c>
      <c r="N148" s="1" t="s">
        <v>119</v>
      </c>
      <c r="O148" s="1" t="s">
        <v>174</v>
      </c>
      <c r="P148" s="7">
        <v>1</v>
      </c>
    </row>
    <row r="149" spans="1:16" x14ac:dyDescent="0.3">
      <c r="A149" s="6">
        <v>10145</v>
      </c>
      <c r="B149" s="3" t="s">
        <v>120</v>
      </c>
      <c r="C149" s="3" t="s">
        <v>121</v>
      </c>
      <c r="D149" s="3" t="s">
        <v>122</v>
      </c>
      <c r="E149" s="3" t="s">
        <v>123</v>
      </c>
      <c r="F149" s="3" t="s">
        <v>90</v>
      </c>
      <c r="G149" s="3" t="s">
        <v>124</v>
      </c>
      <c r="H149" s="3" t="s">
        <v>41</v>
      </c>
      <c r="I149" s="4">
        <v>4</v>
      </c>
      <c r="J149" s="4">
        <v>132</v>
      </c>
      <c r="K149" s="4">
        <v>20</v>
      </c>
      <c r="L149" s="3" t="s">
        <v>125</v>
      </c>
      <c r="M149" s="3" t="s">
        <v>126</v>
      </c>
      <c r="N149" s="3" t="s">
        <v>33</v>
      </c>
      <c r="O149" s="3" t="s">
        <v>71</v>
      </c>
      <c r="P149" s="8"/>
    </row>
    <row r="150" spans="1:16" x14ac:dyDescent="0.3">
      <c r="A150" s="6">
        <v>10146</v>
      </c>
      <c r="B150" s="3" t="s">
        <v>568</v>
      </c>
      <c r="C150" s="3" t="s">
        <v>569</v>
      </c>
      <c r="D150" s="3" t="s">
        <v>570</v>
      </c>
      <c r="E150" s="3" t="s">
        <v>117</v>
      </c>
      <c r="F150" s="3" t="s">
        <v>111</v>
      </c>
      <c r="G150" s="3" t="s">
        <v>280</v>
      </c>
      <c r="H150" s="3" t="s">
        <v>41</v>
      </c>
      <c r="I150" s="4">
        <v>2</v>
      </c>
      <c r="J150" s="4">
        <v>79</v>
      </c>
      <c r="K150" s="4">
        <v>10</v>
      </c>
      <c r="L150" s="3" t="s">
        <v>571</v>
      </c>
      <c r="M150" s="3" t="s">
        <v>43</v>
      </c>
      <c r="N150" s="3" t="s">
        <v>70</v>
      </c>
      <c r="O150" s="3" t="s">
        <v>71</v>
      </c>
      <c r="P150" s="8">
        <v>2</v>
      </c>
    </row>
    <row r="151" spans="1:16" x14ac:dyDescent="0.3">
      <c r="A151" s="6">
        <v>10147</v>
      </c>
      <c r="B151" s="3" t="s">
        <v>425</v>
      </c>
      <c r="C151" s="3" t="s">
        <v>426</v>
      </c>
      <c r="D151" s="3" t="s">
        <v>427</v>
      </c>
      <c r="E151" s="3" t="s">
        <v>428</v>
      </c>
      <c r="F151" s="3" t="s">
        <v>429</v>
      </c>
      <c r="G151" s="3" t="s">
        <v>368</v>
      </c>
      <c r="H151" s="3" t="s">
        <v>22</v>
      </c>
      <c r="I151" s="4">
        <v>3</v>
      </c>
      <c r="J151" s="4">
        <v>1841</v>
      </c>
      <c r="K151" s="4">
        <v>5</v>
      </c>
      <c r="L151" s="3" t="s">
        <v>430</v>
      </c>
      <c r="M151" s="3" t="s">
        <v>69</v>
      </c>
      <c r="N151" s="3" t="s">
        <v>70</v>
      </c>
      <c r="O151" s="3" t="s">
        <v>174</v>
      </c>
      <c r="P151" s="8">
        <v>1</v>
      </c>
    </row>
    <row r="152" spans="1:16" x14ac:dyDescent="0.3">
      <c r="A152" s="5">
        <v>10148</v>
      </c>
      <c r="B152" s="1" t="s">
        <v>565</v>
      </c>
      <c r="C152" s="1" t="s">
        <v>566</v>
      </c>
      <c r="D152" s="1"/>
      <c r="E152" s="1" t="s">
        <v>371</v>
      </c>
      <c r="F152" s="1" t="s">
        <v>98</v>
      </c>
      <c r="G152" s="1" t="s">
        <v>460</v>
      </c>
      <c r="H152" s="1" t="s">
        <v>92</v>
      </c>
      <c r="I152" s="2">
        <v>4</v>
      </c>
      <c r="J152" s="2">
        <v>1355</v>
      </c>
      <c r="K152" s="2">
        <v>10</v>
      </c>
      <c r="L152" s="1" t="s">
        <v>567</v>
      </c>
      <c r="M152" s="1" t="s">
        <v>200</v>
      </c>
      <c r="N152" s="1" t="s">
        <v>33</v>
      </c>
      <c r="O152" s="1" t="s">
        <v>34</v>
      </c>
      <c r="P152" s="7">
        <v>3</v>
      </c>
    </row>
    <row r="153" spans="1:16" x14ac:dyDescent="0.3">
      <c r="A153" s="6">
        <v>10149</v>
      </c>
      <c r="B153" s="3" t="s">
        <v>728</v>
      </c>
      <c r="C153" s="3" t="s">
        <v>1084</v>
      </c>
      <c r="D153" s="3" t="s">
        <v>1230</v>
      </c>
      <c r="E153" s="3" t="s">
        <v>57</v>
      </c>
      <c r="F153" s="3" t="s">
        <v>20</v>
      </c>
      <c r="G153" s="3" t="s">
        <v>21</v>
      </c>
      <c r="H153" s="3" t="s">
        <v>22</v>
      </c>
      <c r="I153" s="4">
        <v>2</v>
      </c>
      <c r="J153" s="4">
        <v>1199</v>
      </c>
      <c r="K153" s="4">
        <v>15</v>
      </c>
      <c r="L153" s="3" t="s">
        <v>1231</v>
      </c>
      <c r="M153" s="3" t="s">
        <v>78</v>
      </c>
      <c r="N153" s="3" t="s">
        <v>108</v>
      </c>
      <c r="O153" s="3" t="s">
        <v>34</v>
      </c>
      <c r="P153" s="8"/>
    </row>
    <row r="154" spans="1:16" x14ac:dyDescent="0.3">
      <c r="A154" s="6">
        <v>10150</v>
      </c>
      <c r="B154" s="3" t="s">
        <v>722</v>
      </c>
      <c r="C154" s="3" t="s">
        <v>723</v>
      </c>
      <c r="D154" s="3" t="s">
        <v>724</v>
      </c>
      <c r="E154" s="3" t="s">
        <v>367</v>
      </c>
      <c r="F154" s="3" t="s">
        <v>50</v>
      </c>
      <c r="G154" s="3" t="s">
        <v>231</v>
      </c>
      <c r="H154" s="3" t="s">
        <v>83</v>
      </c>
      <c r="I154" s="4">
        <v>5</v>
      </c>
      <c r="J154" s="4">
        <v>3779</v>
      </c>
      <c r="K154" s="4">
        <v>0</v>
      </c>
      <c r="L154" s="3" t="s">
        <v>683</v>
      </c>
      <c r="M154" s="3" t="s">
        <v>157</v>
      </c>
      <c r="N154" s="3" t="s">
        <v>33</v>
      </c>
      <c r="O154" s="3" t="s">
        <v>34</v>
      </c>
      <c r="P154" s="8">
        <v>4</v>
      </c>
    </row>
    <row r="155" spans="1:16" x14ac:dyDescent="0.3">
      <c r="A155" s="6">
        <v>10151</v>
      </c>
      <c r="B155" s="3" t="s">
        <v>1581</v>
      </c>
      <c r="C155" s="3" t="s">
        <v>496</v>
      </c>
      <c r="D155" s="3" t="s">
        <v>1582</v>
      </c>
      <c r="E155" s="3" t="s">
        <v>893</v>
      </c>
      <c r="F155" s="3" t="s">
        <v>20</v>
      </c>
      <c r="G155" s="3" t="s">
        <v>1319</v>
      </c>
      <c r="H155" s="3" t="s">
        <v>41</v>
      </c>
      <c r="I155" s="4">
        <v>4</v>
      </c>
      <c r="J155" s="4">
        <v>108</v>
      </c>
      <c r="K155" s="4">
        <v>20</v>
      </c>
      <c r="L155" s="3" t="s">
        <v>1583</v>
      </c>
      <c r="M155" s="3" t="s">
        <v>157</v>
      </c>
      <c r="N155" s="3" t="s">
        <v>70</v>
      </c>
      <c r="O155" s="3" t="s">
        <v>174</v>
      </c>
      <c r="P155" s="8">
        <v>5</v>
      </c>
    </row>
    <row r="156" spans="1:16" x14ac:dyDescent="0.3">
      <c r="A156" s="5">
        <v>10152</v>
      </c>
      <c r="B156" s="1" t="s">
        <v>314</v>
      </c>
      <c r="C156" s="1" t="s">
        <v>315</v>
      </c>
      <c r="D156" s="1" t="s">
        <v>316</v>
      </c>
      <c r="E156" s="1" t="s">
        <v>317</v>
      </c>
      <c r="F156" s="1" t="s">
        <v>20</v>
      </c>
      <c r="G156" s="1" t="s">
        <v>280</v>
      </c>
      <c r="H156" s="1" t="s">
        <v>41</v>
      </c>
      <c r="I156" s="2">
        <v>2</v>
      </c>
      <c r="J156" s="2">
        <v>186</v>
      </c>
      <c r="K156" s="2">
        <v>15</v>
      </c>
      <c r="L156" s="1" t="s">
        <v>318</v>
      </c>
      <c r="M156" s="1" t="s">
        <v>200</v>
      </c>
      <c r="N156" s="1" t="s">
        <v>33</v>
      </c>
      <c r="O156" s="1" t="s">
        <v>174</v>
      </c>
      <c r="P156" s="7"/>
    </row>
    <row r="157" spans="1:16" x14ac:dyDescent="0.3">
      <c r="A157" s="6">
        <v>10153</v>
      </c>
      <c r="B157" s="3" t="s">
        <v>901</v>
      </c>
      <c r="C157" s="3" t="s">
        <v>902</v>
      </c>
      <c r="D157" s="3" t="s">
        <v>1140</v>
      </c>
      <c r="E157" s="3" t="s">
        <v>558</v>
      </c>
      <c r="F157" s="3" t="s">
        <v>191</v>
      </c>
      <c r="G157" s="3" t="s">
        <v>99</v>
      </c>
      <c r="H157" s="3" t="s">
        <v>92</v>
      </c>
      <c r="I157" s="4">
        <v>3</v>
      </c>
      <c r="J157" s="4">
        <v>2221</v>
      </c>
      <c r="K157" s="4">
        <v>5</v>
      </c>
      <c r="L157" s="3" t="s">
        <v>1141</v>
      </c>
      <c r="M157" s="3" t="s">
        <v>126</v>
      </c>
      <c r="N157" s="3" t="s">
        <v>25</v>
      </c>
      <c r="O157" s="3" t="s">
        <v>71</v>
      </c>
      <c r="P157" s="8"/>
    </row>
    <row r="158" spans="1:16" x14ac:dyDescent="0.3">
      <c r="A158" s="5">
        <v>10154</v>
      </c>
      <c r="B158" s="1" t="s">
        <v>703</v>
      </c>
      <c r="C158" s="1" t="s">
        <v>704</v>
      </c>
      <c r="D158" s="1" t="s">
        <v>705</v>
      </c>
      <c r="E158" s="1" t="s">
        <v>391</v>
      </c>
      <c r="F158" s="1" t="s">
        <v>90</v>
      </c>
      <c r="G158" s="1" t="s">
        <v>706</v>
      </c>
      <c r="H158" s="1" t="s">
        <v>60</v>
      </c>
      <c r="I158" s="2">
        <v>5</v>
      </c>
      <c r="J158" s="2">
        <v>597</v>
      </c>
      <c r="K158" s="2">
        <v>5</v>
      </c>
      <c r="L158" s="1" t="s">
        <v>369</v>
      </c>
      <c r="M158" s="1" t="s">
        <v>43</v>
      </c>
      <c r="N158" s="1" t="s">
        <v>70</v>
      </c>
      <c r="O158" s="1" t="s">
        <v>45</v>
      </c>
      <c r="P158" s="7">
        <v>5</v>
      </c>
    </row>
    <row r="159" spans="1:16" x14ac:dyDescent="0.3">
      <c r="A159" s="5">
        <v>10155</v>
      </c>
      <c r="B159" s="1" t="s">
        <v>201</v>
      </c>
      <c r="C159" s="1"/>
      <c r="D159" s="1" t="s">
        <v>202</v>
      </c>
      <c r="E159" s="1" t="s">
        <v>203</v>
      </c>
      <c r="F159" s="1" t="s">
        <v>98</v>
      </c>
      <c r="G159" s="1" t="s">
        <v>204</v>
      </c>
      <c r="H159" s="1" t="s">
        <v>143</v>
      </c>
      <c r="I159" s="2">
        <v>3</v>
      </c>
      <c r="J159" s="2">
        <v>320</v>
      </c>
      <c r="K159" s="2"/>
      <c r="L159" s="1" t="s">
        <v>205</v>
      </c>
      <c r="M159" s="1" t="s">
        <v>94</v>
      </c>
      <c r="N159" s="1" t="s">
        <v>25</v>
      </c>
      <c r="O159" s="1"/>
      <c r="P159" s="7">
        <v>2</v>
      </c>
    </row>
    <row r="160" spans="1:16" x14ac:dyDescent="0.3">
      <c r="A160" s="5">
        <v>10155</v>
      </c>
      <c r="B160" s="1" t="s">
        <v>201</v>
      </c>
      <c r="C160" s="1"/>
      <c r="D160" s="1" t="s">
        <v>202</v>
      </c>
      <c r="E160" s="1" t="s">
        <v>203</v>
      </c>
      <c r="F160" s="1" t="s">
        <v>98</v>
      </c>
      <c r="G160" s="1" t="s">
        <v>204</v>
      </c>
      <c r="H160" s="1" t="s">
        <v>143</v>
      </c>
      <c r="I160" s="2">
        <v>3</v>
      </c>
      <c r="J160" s="2">
        <v>320</v>
      </c>
      <c r="K160" s="2"/>
      <c r="L160" s="1" t="s">
        <v>205</v>
      </c>
      <c r="M160" s="1" t="s">
        <v>94</v>
      </c>
      <c r="N160" s="1" t="s">
        <v>25</v>
      </c>
      <c r="O160" s="1"/>
      <c r="P160" s="7">
        <v>2</v>
      </c>
    </row>
    <row r="161" spans="1:16" x14ac:dyDescent="0.3">
      <c r="A161" s="5">
        <v>10156</v>
      </c>
      <c r="B161" s="1" t="s">
        <v>414</v>
      </c>
      <c r="C161" s="1" t="s">
        <v>415</v>
      </c>
      <c r="D161" s="1" t="s">
        <v>416</v>
      </c>
      <c r="E161" s="1" t="s">
        <v>371</v>
      </c>
      <c r="F161" s="1" t="s">
        <v>417</v>
      </c>
      <c r="G161" s="1" t="s">
        <v>112</v>
      </c>
      <c r="H161" s="1" t="s">
        <v>83</v>
      </c>
      <c r="I161" s="2">
        <v>5</v>
      </c>
      <c r="J161" s="2">
        <v>32423</v>
      </c>
      <c r="K161" s="2">
        <v>5</v>
      </c>
      <c r="L161" s="1" t="s">
        <v>418</v>
      </c>
      <c r="M161" s="1" t="s">
        <v>78</v>
      </c>
      <c r="N161" s="1" t="s">
        <v>25</v>
      </c>
      <c r="O161" s="1" t="s">
        <v>174</v>
      </c>
      <c r="P161" s="7">
        <v>2</v>
      </c>
    </row>
    <row r="162" spans="1:16" x14ac:dyDescent="0.3">
      <c r="A162" s="6">
        <v>10157</v>
      </c>
      <c r="B162" s="3" t="s">
        <v>1553</v>
      </c>
      <c r="C162" s="3" t="s">
        <v>1554</v>
      </c>
      <c r="D162" s="3" t="s">
        <v>1555</v>
      </c>
      <c r="E162" s="3" t="s">
        <v>123</v>
      </c>
      <c r="F162" s="3" t="s">
        <v>90</v>
      </c>
      <c r="G162" s="3" t="s">
        <v>860</v>
      </c>
      <c r="H162" s="3" t="s">
        <v>83</v>
      </c>
      <c r="I162" s="4">
        <v>1</v>
      </c>
      <c r="J162" s="4">
        <v>21513</v>
      </c>
      <c r="K162" s="4">
        <v>20</v>
      </c>
      <c r="L162" s="3" t="s">
        <v>1206</v>
      </c>
      <c r="M162" s="3" t="s">
        <v>560</v>
      </c>
      <c r="N162" s="3" t="s">
        <v>25</v>
      </c>
      <c r="O162" s="3" t="s">
        <v>174</v>
      </c>
      <c r="P162" s="8">
        <v>1</v>
      </c>
    </row>
    <row r="163" spans="1:16" x14ac:dyDescent="0.3">
      <c r="A163" s="6">
        <v>10158</v>
      </c>
      <c r="B163" s="3" t="s">
        <v>409</v>
      </c>
      <c r="C163" s="3"/>
      <c r="D163" s="3" t="s">
        <v>410</v>
      </c>
      <c r="E163" s="3" t="s">
        <v>190</v>
      </c>
      <c r="F163" s="3" t="s">
        <v>214</v>
      </c>
      <c r="G163" s="3" t="s">
        <v>411</v>
      </c>
      <c r="H163" s="3" t="s">
        <v>83</v>
      </c>
      <c r="I163" s="4">
        <v>3</v>
      </c>
      <c r="J163" s="4">
        <v>54003</v>
      </c>
      <c r="K163" s="4">
        <v>0</v>
      </c>
      <c r="L163" s="3" t="s">
        <v>412</v>
      </c>
      <c r="M163" s="3" t="s">
        <v>78</v>
      </c>
      <c r="N163" s="3" t="s">
        <v>413</v>
      </c>
      <c r="O163" s="3" t="s">
        <v>45</v>
      </c>
      <c r="P163" s="8">
        <v>4</v>
      </c>
    </row>
    <row r="164" spans="1:16" x14ac:dyDescent="0.3">
      <c r="A164" s="5">
        <v>10159</v>
      </c>
      <c r="B164" s="1" t="s">
        <v>625</v>
      </c>
      <c r="C164" s="1" t="s">
        <v>207</v>
      </c>
      <c r="D164" s="1" t="s">
        <v>626</v>
      </c>
      <c r="E164" s="1" t="s">
        <v>317</v>
      </c>
      <c r="F164" s="1" t="s">
        <v>58</v>
      </c>
      <c r="G164" s="1" t="s">
        <v>198</v>
      </c>
      <c r="H164" s="1" t="s">
        <v>41</v>
      </c>
      <c r="I164" s="2">
        <v>3</v>
      </c>
      <c r="J164" s="2">
        <v>233</v>
      </c>
      <c r="K164" s="2"/>
      <c r="L164" s="1" t="s">
        <v>627</v>
      </c>
      <c r="M164" s="1" t="s">
        <v>78</v>
      </c>
      <c r="N164" s="1" t="s">
        <v>70</v>
      </c>
      <c r="O164" s="1" t="s">
        <v>34</v>
      </c>
      <c r="P164" s="7">
        <v>4</v>
      </c>
    </row>
    <row r="165" spans="1:16" x14ac:dyDescent="0.3">
      <c r="A165" s="6">
        <v>10160</v>
      </c>
      <c r="B165" s="3" t="s">
        <v>146</v>
      </c>
      <c r="C165" s="3" t="s">
        <v>147</v>
      </c>
      <c r="D165" s="3" t="s">
        <v>148</v>
      </c>
      <c r="E165" s="3" t="s">
        <v>149</v>
      </c>
      <c r="F165" s="3" t="s">
        <v>150</v>
      </c>
      <c r="G165" s="3" t="s">
        <v>151</v>
      </c>
      <c r="H165" s="3" t="s">
        <v>143</v>
      </c>
      <c r="I165" s="4">
        <v>5</v>
      </c>
      <c r="J165" s="4">
        <v>605</v>
      </c>
      <c r="K165" s="4">
        <v>5</v>
      </c>
      <c r="L165" s="3" t="s">
        <v>152</v>
      </c>
      <c r="M165" s="3" t="s">
        <v>145</v>
      </c>
      <c r="N165" s="3" t="s">
        <v>25</v>
      </c>
      <c r="O165" s="3" t="s">
        <v>34</v>
      </c>
      <c r="P165" s="8">
        <v>5</v>
      </c>
    </row>
    <row r="166" spans="1:16" x14ac:dyDescent="0.3">
      <c r="A166" s="6">
        <v>10161</v>
      </c>
      <c r="B166" s="3" t="s">
        <v>538</v>
      </c>
      <c r="C166" s="3" t="s">
        <v>432</v>
      </c>
      <c r="D166" s="3" t="s">
        <v>1235</v>
      </c>
      <c r="E166" s="3" t="s">
        <v>738</v>
      </c>
      <c r="F166" s="3" t="s">
        <v>150</v>
      </c>
      <c r="G166" s="3" t="s">
        <v>136</v>
      </c>
      <c r="H166" s="3" t="s">
        <v>22</v>
      </c>
      <c r="I166" s="4">
        <v>4</v>
      </c>
      <c r="J166" s="4">
        <v>641</v>
      </c>
      <c r="K166" s="4">
        <v>10</v>
      </c>
      <c r="L166" s="3" t="s">
        <v>1236</v>
      </c>
      <c r="M166" s="3" t="s">
        <v>24</v>
      </c>
      <c r="N166" s="3" t="s">
        <v>70</v>
      </c>
      <c r="O166" s="3"/>
      <c r="P166" s="8">
        <v>1</v>
      </c>
    </row>
    <row r="167" spans="1:16" x14ac:dyDescent="0.3">
      <c r="A167" s="5">
        <v>10162</v>
      </c>
      <c r="B167" s="1" t="s">
        <v>499</v>
      </c>
      <c r="C167" s="1" t="s">
        <v>121</v>
      </c>
      <c r="D167" s="1" t="s">
        <v>690</v>
      </c>
      <c r="E167" s="1" t="s">
        <v>343</v>
      </c>
      <c r="F167" s="1" t="s">
        <v>20</v>
      </c>
      <c r="G167" s="1" t="s">
        <v>533</v>
      </c>
      <c r="H167" s="1" t="s">
        <v>22</v>
      </c>
      <c r="I167" s="2">
        <v>2</v>
      </c>
      <c r="J167" s="2">
        <v>1419</v>
      </c>
      <c r="K167" s="2">
        <v>20</v>
      </c>
      <c r="L167" s="1" t="s">
        <v>691</v>
      </c>
      <c r="M167" s="1" t="s">
        <v>69</v>
      </c>
      <c r="N167" s="1" t="s">
        <v>70</v>
      </c>
      <c r="O167" s="1" t="s">
        <v>53</v>
      </c>
      <c r="P167" s="7"/>
    </row>
    <row r="168" spans="1:16" x14ac:dyDescent="0.3">
      <c r="A168" s="6">
        <v>10163</v>
      </c>
      <c r="B168" s="3" t="s">
        <v>1167</v>
      </c>
      <c r="C168" s="3" t="s">
        <v>263</v>
      </c>
      <c r="D168" s="3" t="s">
        <v>1168</v>
      </c>
      <c r="E168" s="3" t="s">
        <v>371</v>
      </c>
      <c r="F168" s="3" t="s">
        <v>1169</v>
      </c>
      <c r="G168" s="3" t="s">
        <v>649</v>
      </c>
      <c r="H168" s="3" t="s">
        <v>83</v>
      </c>
      <c r="I168" s="4">
        <v>5</v>
      </c>
      <c r="J168" s="4">
        <v>22138</v>
      </c>
      <c r="K168" s="4">
        <v>10</v>
      </c>
      <c r="L168" s="3" t="s">
        <v>1170</v>
      </c>
      <c r="M168" s="3" t="s">
        <v>78</v>
      </c>
      <c r="N168" s="3" t="s">
        <v>25</v>
      </c>
      <c r="O168" s="3" t="s">
        <v>174</v>
      </c>
      <c r="P168" s="8">
        <v>4</v>
      </c>
    </row>
    <row r="169" spans="1:16" x14ac:dyDescent="0.3">
      <c r="A169" s="6">
        <v>10164</v>
      </c>
      <c r="B169" s="3" t="s">
        <v>300</v>
      </c>
      <c r="C169" s="3" t="s">
        <v>301</v>
      </c>
      <c r="D169" s="3" t="s">
        <v>1435</v>
      </c>
      <c r="E169" s="3" t="s">
        <v>1318</v>
      </c>
      <c r="F169" s="3" t="s">
        <v>220</v>
      </c>
      <c r="G169" s="3" t="s">
        <v>659</v>
      </c>
      <c r="H169" s="3" t="s">
        <v>83</v>
      </c>
      <c r="I169" s="4">
        <v>3</v>
      </c>
      <c r="J169" s="4">
        <v>16714</v>
      </c>
      <c r="K169" s="4">
        <v>20</v>
      </c>
      <c r="L169" s="3" t="s">
        <v>1436</v>
      </c>
      <c r="M169" s="3" t="s">
        <v>94</v>
      </c>
      <c r="N169" s="3" t="s">
        <v>25</v>
      </c>
      <c r="O169" s="3" t="s">
        <v>71</v>
      </c>
      <c r="P169" s="8">
        <v>5</v>
      </c>
    </row>
    <row r="170" spans="1:16" x14ac:dyDescent="0.3">
      <c r="A170" s="5">
        <v>10165</v>
      </c>
      <c r="B170" s="1" t="s">
        <v>541</v>
      </c>
      <c r="C170" s="1" t="s">
        <v>63</v>
      </c>
      <c r="D170" s="1" t="s">
        <v>542</v>
      </c>
      <c r="E170" s="1" t="s">
        <v>543</v>
      </c>
      <c r="F170" s="1" t="s">
        <v>429</v>
      </c>
      <c r="G170" s="1" t="s">
        <v>544</v>
      </c>
      <c r="H170" s="1" t="s">
        <v>83</v>
      </c>
      <c r="I170" s="2">
        <v>3</v>
      </c>
      <c r="J170" s="2">
        <v>53435</v>
      </c>
      <c r="K170" s="2">
        <v>10</v>
      </c>
      <c r="L170" s="1" t="s">
        <v>545</v>
      </c>
      <c r="M170" s="1" t="s">
        <v>43</v>
      </c>
      <c r="N170" s="1" t="s">
        <v>25</v>
      </c>
      <c r="O170" s="1"/>
      <c r="P170" s="7">
        <v>3</v>
      </c>
    </row>
    <row r="171" spans="1:16" x14ac:dyDescent="0.3">
      <c r="A171" s="6">
        <v>10166</v>
      </c>
      <c r="B171" s="3" t="s">
        <v>340</v>
      </c>
      <c r="C171" s="3" t="s">
        <v>341</v>
      </c>
      <c r="D171" s="3" t="s">
        <v>1037</v>
      </c>
      <c r="E171" s="3" t="s">
        <v>572</v>
      </c>
      <c r="F171" s="3" t="s">
        <v>362</v>
      </c>
      <c r="G171" s="3" t="s">
        <v>368</v>
      </c>
      <c r="H171" s="3" t="s">
        <v>22</v>
      </c>
      <c r="I171" s="4">
        <v>5</v>
      </c>
      <c r="J171" s="4">
        <v>1643</v>
      </c>
      <c r="K171" s="4">
        <v>20</v>
      </c>
      <c r="L171" s="3" t="s">
        <v>1038</v>
      </c>
      <c r="M171" s="3" t="s">
        <v>24</v>
      </c>
      <c r="N171" s="3" t="s">
        <v>25</v>
      </c>
      <c r="O171" s="3" t="s">
        <v>71</v>
      </c>
      <c r="P171" s="8">
        <v>4</v>
      </c>
    </row>
    <row r="172" spans="1:16" x14ac:dyDescent="0.3">
      <c r="A172" s="6">
        <v>10167</v>
      </c>
      <c r="B172" s="3" t="s">
        <v>785</v>
      </c>
      <c r="C172" s="3"/>
      <c r="D172" s="3" t="s">
        <v>786</v>
      </c>
      <c r="E172" s="3" t="s">
        <v>219</v>
      </c>
      <c r="F172" s="3" t="s">
        <v>354</v>
      </c>
      <c r="G172" s="3" t="s">
        <v>91</v>
      </c>
      <c r="H172" s="3" t="s">
        <v>92</v>
      </c>
      <c r="I172" s="4">
        <v>1</v>
      </c>
      <c r="J172" s="4">
        <v>3734</v>
      </c>
      <c r="K172" s="4"/>
      <c r="L172" s="3" t="s">
        <v>787</v>
      </c>
      <c r="M172" s="3" t="s">
        <v>94</v>
      </c>
      <c r="N172" s="3" t="s">
        <v>25</v>
      </c>
      <c r="O172" s="3" t="s">
        <v>71</v>
      </c>
      <c r="P172" s="8">
        <v>1</v>
      </c>
    </row>
    <row r="173" spans="1:16" x14ac:dyDescent="0.3">
      <c r="A173" s="5">
        <v>10168</v>
      </c>
      <c r="B173" s="1" t="s">
        <v>1606</v>
      </c>
      <c r="C173" s="1" t="s">
        <v>1607</v>
      </c>
      <c r="D173" s="1" t="s">
        <v>1608</v>
      </c>
      <c r="E173" s="1" t="s">
        <v>38</v>
      </c>
      <c r="F173" s="1" t="s">
        <v>429</v>
      </c>
      <c r="G173" s="1" t="s">
        <v>474</v>
      </c>
      <c r="H173" s="1" t="s">
        <v>143</v>
      </c>
      <c r="I173" s="2">
        <v>5</v>
      </c>
      <c r="J173" s="2">
        <v>648</v>
      </c>
      <c r="K173" s="2"/>
      <c r="L173" s="1" t="s">
        <v>1609</v>
      </c>
      <c r="M173" s="1" t="s">
        <v>94</v>
      </c>
      <c r="N173" s="1" t="s">
        <v>70</v>
      </c>
      <c r="O173" s="1" t="s">
        <v>71</v>
      </c>
      <c r="P173" s="7">
        <v>2</v>
      </c>
    </row>
    <row r="174" spans="1:16" x14ac:dyDescent="0.3">
      <c r="A174" s="6">
        <v>10169</v>
      </c>
      <c r="B174" s="3" t="s">
        <v>1395</v>
      </c>
      <c r="C174" s="3" t="s">
        <v>330</v>
      </c>
      <c r="D174" s="3" t="s">
        <v>1396</v>
      </c>
      <c r="E174" s="3" t="s">
        <v>111</v>
      </c>
      <c r="F174" s="3" t="s">
        <v>111</v>
      </c>
      <c r="G174" s="3" t="s">
        <v>112</v>
      </c>
      <c r="H174" s="3" t="s">
        <v>83</v>
      </c>
      <c r="I174" s="4">
        <v>4</v>
      </c>
      <c r="J174" s="4">
        <v>14929</v>
      </c>
      <c r="K174" s="4">
        <v>0</v>
      </c>
      <c r="L174" s="3" t="s">
        <v>1397</v>
      </c>
      <c r="M174" s="3" t="s">
        <v>101</v>
      </c>
      <c r="N174" s="3" t="s">
        <v>33</v>
      </c>
      <c r="O174" s="3" t="s">
        <v>45</v>
      </c>
      <c r="P174" s="8">
        <v>5</v>
      </c>
    </row>
    <row r="175" spans="1:16" x14ac:dyDescent="0.3">
      <c r="A175" s="6">
        <v>10170</v>
      </c>
      <c r="B175" s="3" t="s">
        <v>340</v>
      </c>
      <c r="C175" s="3" t="s">
        <v>341</v>
      </c>
      <c r="D175" s="3" t="s">
        <v>342</v>
      </c>
      <c r="E175" s="3" t="s">
        <v>343</v>
      </c>
      <c r="F175" s="3" t="s">
        <v>50</v>
      </c>
      <c r="G175" s="3" t="s">
        <v>21</v>
      </c>
      <c r="H175" s="3" t="s">
        <v>22</v>
      </c>
      <c r="I175" s="4">
        <v>5</v>
      </c>
      <c r="J175" s="4">
        <v>783</v>
      </c>
      <c r="K175" s="4"/>
      <c r="L175" s="3" t="s">
        <v>344</v>
      </c>
      <c r="M175" s="3" t="s">
        <v>24</v>
      </c>
      <c r="N175" s="3" t="s">
        <v>119</v>
      </c>
      <c r="O175" s="3" t="s">
        <v>34</v>
      </c>
      <c r="P175" s="8"/>
    </row>
    <row r="176" spans="1:16" x14ac:dyDescent="0.3">
      <c r="A176" s="6">
        <v>10171</v>
      </c>
      <c r="B176" s="3" t="s">
        <v>1331</v>
      </c>
      <c r="C176" s="3" t="s">
        <v>365</v>
      </c>
      <c r="D176" s="3"/>
      <c r="E176" s="3" t="s">
        <v>279</v>
      </c>
      <c r="F176" s="3" t="s">
        <v>259</v>
      </c>
      <c r="G176" s="3" t="s">
        <v>226</v>
      </c>
      <c r="H176" s="3" t="s">
        <v>22</v>
      </c>
      <c r="I176" s="4">
        <v>2</v>
      </c>
      <c r="J176" s="4">
        <v>1245</v>
      </c>
      <c r="K176" s="4"/>
      <c r="L176" s="3" t="s">
        <v>1332</v>
      </c>
      <c r="M176" s="3" t="s">
        <v>78</v>
      </c>
      <c r="N176" s="3" t="s">
        <v>70</v>
      </c>
      <c r="O176" s="3" t="s">
        <v>45</v>
      </c>
      <c r="P176" s="8">
        <v>3</v>
      </c>
    </row>
    <row r="177" spans="1:16" x14ac:dyDescent="0.3">
      <c r="A177" s="5">
        <v>10172</v>
      </c>
      <c r="B177" s="1" t="s">
        <v>1222</v>
      </c>
      <c r="C177" s="1" t="s">
        <v>566</v>
      </c>
      <c r="D177" s="1" t="s">
        <v>1223</v>
      </c>
      <c r="E177" s="1" t="s">
        <v>343</v>
      </c>
      <c r="F177" s="1" t="s">
        <v>50</v>
      </c>
      <c r="G177" s="1" t="s">
        <v>136</v>
      </c>
      <c r="H177" s="1" t="s">
        <v>22</v>
      </c>
      <c r="I177" s="2">
        <v>4</v>
      </c>
      <c r="J177" s="2">
        <v>1795</v>
      </c>
      <c r="K177" s="2">
        <v>10</v>
      </c>
      <c r="L177" s="1" t="s">
        <v>668</v>
      </c>
      <c r="M177" s="1" t="s">
        <v>85</v>
      </c>
      <c r="N177" s="1" t="s">
        <v>25</v>
      </c>
      <c r="O177" s="1" t="s">
        <v>34</v>
      </c>
      <c r="P177" s="7">
        <v>5</v>
      </c>
    </row>
    <row r="178" spans="1:16" x14ac:dyDescent="0.3">
      <c r="A178" s="6">
        <v>10173</v>
      </c>
      <c r="B178" s="3" t="s">
        <v>725</v>
      </c>
      <c r="C178" s="3" t="s">
        <v>256</v>
      </c>
      <c r="D178" s="3" t="s">
        <v>1005</v>
      </c>
      <c r="E178" s="3" t="s">
        <v>111</v>
      </c>
      <c r="F178" s="3" t="s">
        <v>110</v>
      </c>
      <c r="G178" s="3" t="s">
        <v>411</v>
      </c>
      <c r="H178" s="3" t="s">
        <v>83</v>
      </c>
      <c r="I178" s="4">
        <v>5</v>
      </c>
      <c r="J178" s="4">
        <v>45246</v>
      </c>
      <c r="K178" s="4">
        <v>0</v>
      </c>
      <c r="L178" s="3" t="s">
        <v>836</v>
      </c>
      <c r="M178" s="3" t="s">
        <v>126</v>
      </c>
      <c r="N178" s="3" t="s">
        <v>25</v>
      </c>
      <c r="O178" s="3" t="s">
        <v>71</v>
      </c>
      <c r="P178" s="8"/>
    </row>
    <row r="179" spans="1:16" x14ac:dyDescent="0.3">
      <c r="A179" s="5">
        <v>10174</v>
      </c>
      <c r="B179" s="1" t="s">
        <v>163</v>
      </c>
      <c r="C179" s="1" t="s">
        <v>164</v>
      </c>
      <c r="D179" s="1" t="s">
        <v>165</v>
      </c>
      <c r="E179" s="1" t="s">
        <v>166</v>
      </c>
      <c r="F179" s="1" t="s">
        <v>141</v>
      </c>
      <c r="G179" s="1" t="s">
        <v>167</v>
      </c>
      <c r="H179" s="1" t="s">
        <v>143</v>
      </c>
      <c r="I179" s="2">
        <v>4</v>
      </c>
      <c r="J179" s="2">
        <v>185</v>
      </c>
      <c r="K179" s="2">
        <v>15</v>
      </c>
      <c r="L179" s="1" t="s">
        <v>168</v>
      </c>
      <c r="M179" s="1" t="s">
        <v>43</v>
      </c>
      <c r="N179" s="1" t="s">
        <v>25</v>
      </c>
      <c r="O179" s="1"/>
      <c r="P179" s="7">
        <v>5</v>
      </c>
    </row>
    <row r="180" spans="1:16" x14ac:dyDescent="0.3">
      <c r="A180" s="6">
        <v>10175</v>
      </c>
      <c r="B180" s="3" t="s">
        <v>394</v>
      </c>
      <c r="C180" s="3" t="s">
        <v>212</v>
      </c>
      <c r="D180" s="3" t="s">
        <v>395</v>
      </c>
      <c r="E180" s="3" t="s">
        <v>197</v>
      </c>
      <c r="F180" s="3" t="s">
        <v>396</v>
      </c>
      <c r="G180" s="3" t="s">
        <v>397</v>
      </c>
      <c r="H180" s="3" t="s">
        <v>143</v>
      </c>
      <c r="I180" s="4">
        <v>1</v>
      </c>
      <c r="J180" s="4">
        <v>587</v>
      </c>
      <c r="K180" s="4"/>
      <c r="L180" s="3" t="s">
        <v>398</v>
      </c>
      <c r="M180" s="3" t="s">
        <v>24</v>
      </c>
      <c r="N180" s="3" t="s">
        <v>25</v>
      </c>
      <c r="O180" s="3" t="s">
        <v>34</v>
      </c>
      <c r="P180" s="8">
        <v>4</v>
      </c>
    </row>
    <row r="181" spans="1:16" x14ac:dyDescent="0.3">
      <c r="A181" s="5">
        <v>10176</v>
      </c>
      <c r="B181" s="1" t="s">
        <v>603</v>
      </c>
      <c r="C181" s="1" t="s">
        <v>389</v>
      </c>
      <c r="D181" s="1" t="s">
        <v>740</v>
      </c>
      <c r="E181" s="1" t="s">
        <v>219</v>
      </c>
      <c r="F181" s="1" t="s">
        <v>220</v>
      </c>
      <c r="G181" s="1" t="s">
        <v>368</v>
      </c>
      <c r="H181" s="1" t="s">
        <v>22</v>
      </c>
      <c r="I181" s="2">
        <v>2</v>
      </c>
      <c r="J181" s="2">
        <v>2476</v>
      </c>
      <c r="K181" s="2">
        <v>20</v>
      </c>
      <c r="L181" s="1" t="s">
        <v>286</v>
      </c>
      <c r="M181" s="1" t="s">
        <v>24</v>
      </c>
      <c r="N181" s="1" t="s">
        <v>70</v>
      </c>
      <c r="O181" s="1" t="s">
        <v>45</v>
      </c>
      <c r="P181" s="7">
        <v>1</v>
      </c>
    </row>
    <row r="182" spans="1:16" x14ac:dyDescent="0.3">
      <c r="A182" s="6">
        <v>10177</v>
      </c>
      <c r="B182" s="3" t="s">
        <v>351</v>
      </c>
      <c r="C182" s="3" t="s">
        <v>352</v>
      </c>
      <c r="D182" s="3" t="s">
        <v>353</v>
      </c>
      <c r="E182" s="3" t="s">
        <v>219</v>
      </c>
      <c r="F182" s="3" t="s">
        <v>354</v>
      </c>
      <c r="G182" s="3" t="s">
        <v>21</v>
      </c>
      <c r="H182" s="3" t="s">
        <v>22</v>
      </c>
      <c r="I182" s="4">
        <v>3</v>
      </c>
      <c r="J182" s="4">
        <v>963</v>
      </c>
      <c r="K182" s="4">
        <v>15</v>
      </c>
      <c r="L182" s="3" t="s">
        <v>355</v>
      </c>
      <c r="M182" s="3" t="s">
        <v>78</v>
      </c>
      <c r="N182" s="3" t="s">
        <v>70</v>
      </c>
      <c r="O182" s="3" t="s">
        <v>71</v>
      </c>
      <c r="P182" s="8">
        <v>3</v>
      </c>
    </row>
    <row r="183" spans="1:16" x14ac:dyDescent="0.3">
      <c r="A183" s="6">
        <v>10178</v>
      </c>
      <c r="B183" s="3" t="s">
        <v>1288</v>
      </c>
      <c r="C183" s="3" t="s">
        <v>640</v>
      </c>
      <c r="D183" s="3" t="s">
        <v>1289</v>
      </c>
      <c r="E183" s="3" t="s">
        <v>279</v>
      </c>
      <c r="F183" s="3" t="s">
        <v>259</v>
      </c>
      <c r="G183" s="3" t="s">
        <v>1159</v>
      </c>
      <c r="H183" s="3" t="s">
        <v>83</v>
      </c>
      <c r="I183" s="4">
        <v>1</v>
      </c>
      <c r="J183" s="4">
        <v>10612</v>
      </c>
      <c r="K183" s="4">
        <v>20</v>
      </c>
      <c r="L183" s="3" t="s">
        <v>831</v>
      </c>
      <c r="M183" s="3" t="s">
        <v>78</v>
      </c>
      <c r="N183" s="3" t="s">
        <v>25</v>
      </c>
      <c r="O183" s="3" t="s">
        <v>174</v>
      </c>
      <c r="P183" s="8">
        <v>5</v>
      </c>
    </row>
    <row r="184" spans="1:16" x14ac:dyDescent="0.3">
      <c r="A184" s="6">
        <v>10179</v>
      </c>
      <c r="B184" s="3" t="s">
        <v>1461</v>
      </c>
      <c r="C184" s="3" t="s">
        <v>928</v>
      </c>
      <c r="D184" s="3" t="s">
        <v>1462</v>
      </c>
      <c r="E184" s="3" t="s">
        <v>241</v>
      </c>
      <c r="F184" s="3" t="s">
        <v>50</v>
      </c>
      <c r="G184" s="3" t="s">
        <v>226</v>
      </c>
      <c r="H184" s="3" t="s">
        <v>22</v>
      </c>
      <c r="I184" s="4">
        <v>2</v>
      </c>
      <c r="J184" s="4">
        <v>1667</v>
      </c>
      <c r="K184" s="4"/>
      <c r="L184" s="3" t="s">
        <v>1463</v>
      </c>
      <c r="M184" s="3" t="s">
        <v>78</v>
      </c>
      <c r="N184" s="3" t="s">
        <v>25</v>
      </c>
      <c r="O184" s="3" t="s">
        <v>71</v>
      </c>
      <c r="P184" s="8">
        <v>5</v>
      </c>
    </row>
    <row r="185" spans="1:16" x14ac:dyDescent="0.3">
      <c r="A185" s="5">
        <v>10180</v>
      </c>
      <c r="B185" s="1" t="s">
        <v>793</v>
      </c>
      <c r="C185" s="1" t="s">
        <v>1437</v>
      </c>
      <c r="D185" s="1" t="s">
        <v>1438</v>
      </c>
      <c r="E185" s="1" t="s">
        <v>74</v>
      </c>
      <c r="F185" s="1" t="s">
        <v>596</v>
      </c>
      <c r="G185" s="1" t="s">
        <v>231</v>
      </c>
      <c r="H185" s="1" t="s">
        <v>83</v>
      </c>
      <c r="I185" s="2">
        <v>2</v>
      </c>
      <c r="J185" s="2">
        <v>4463</v>
      </c>
      <c r="K185" s="2"/>
      <c r="L185" s="1" t="s">
        <v>1439</v>
      </c>
      <c r="M185" s="1" t="s">
        <v>69</v>
      </c>
      <c r="N185" s="1" t="s">
        <v>25</v>
      </c>
      <c r="O185" s="1" t="s">
        <v>34</v>
      </c>
      <c r="P185" s="7">
        <v>4</v>
      </c>
    </row>
    <row r="186" spans="1:16" x14ac:dyDescent="0.3">
      <c r="A186" s="5">
        <v>10181</v>
      </c>
      <c r="B186" s="1" t="s">
        <v>585</v>
      </c>
      <c r="C186" s="1"/>
      <c r="D186" s="1" t="s">
        <v>586</v>
      </c>
      <c r="E186" s="1" t="s">
        <v>247</v>
      </c>
      <c r="F186" s="1" t="s">
        <v>332</v>
      </c>
      <c r="G186" s="1" t="s">
        <v>587</v>
      </c>
      <c r="H186" s="1" t="s">
        <v>83</v>
      </c>
      <c r="I186" s="2">
        <v>4</v>
      </c>
      <c r="J186" s="2">
        <v>13028</v>
      </c>
      <c r="K186" s="2">
        <v>20</v>
      </c>
      <c r="L186" s="1" t="s">
        <v>588</v>
      </c>
      <c r="M186" s="1" t="s">
        <v>101</v>
      </c>
      <c r="N186" s="1" t="s">
        <v>70</v>
      </c>
      <c r="O186" s="1" t="s">
        <v>34</v>
      </c>
      <c r="P186" s="7"/>
    </row>
    <row r="187" spans="1:16" x14ac:dyDescent="0.3">
      <c r="A187" s="5">
        <v>10182</v>
      </c>
      <c r="B187" s="1" t="s">
        <v>1575</v>
      </c>
      <c r="C187" s="1" t="s">
        <v>924</v>
      </c>
      <c r="D187" s="1" t="s">
        <v>1576</v>
      </c>
      <c r="E187" s="1" t="s">
        <v>111</v>
      </c>
      <c r="F187" s="1" t="s">
        <v>1479</v>
      </c>
      <c r="G187" s="1" t="s">
        <v>368</v>
      </c>
      <c r="H187" s="1" t="s">
        <v>22</v>
      </c>
      <c r="I187" s="2">
        <v>5</v>
      </c>
      <c r="J187" s="2">
        <v>1926</v>
      </c>
      <c r="K187" s="2">
        <v>20</v>
      </c>
      <c r="L187" s="1" t="s">
        <v>1577</v>
      </c>
      <c r="M187" s="1" t="s">
        <v>32</v>
      </c>
      <c r="N187" s="1" t="s">
        <v>70</v>
      </c>
      <c r="O187" s="1" t="s">
        <v>34</v>
      </c>
      <c r="P187" s="7">
        <v>1</v>
      </c>
    </row>
    <row r="188" spans="1:16" x14ac:dyDescent="0.3">
      <c r="A188" s="5">
        <v>10183</v>
      </c>
      <c r="B188" s="1" t="s">
        <v>883</v>
      </c>
      <c r="C188" s="1" t="s">
        <v>341</v>
      </c>
      <c r="D188" s="1" t="s">
        <v>1277</v>
      </c>
      <c r="E188" s="1" t="s">
        <v>74</v>
      </c>
      <c r="F188" s="1" t="s">
        <v>75</v>
      </c>
      <c r="G188" s="1" t="s">
        <v>460</v>
      </c>
      <c r="H188" s="1" t="s">
        <v>92</v>
      </c>
      <c r="I188" s="2">
        <v>2</v>
      </c>
      <c r="J188" s="2">
        <v>1391</v>
      </c>
      <c r="K188" s="2">
        <v>10</v>
      </c>
      <c r="L188" s="1" t="s">
        <v>1278</v>
      </c>
      <c r="M188" s="1" t="s">
        <v>186</v>
      </c>
      <c r="N188" s="1" t="s">
        <v>25</v>
      </c>
      <c r="O188" s="1" t="s">
        <v>53</v>
      </c>
      <c r="P188" s="7">
        <v>5</v>
      </c>
    </row>
    <row r="189" spans="1:16" x14ac:dyDescent="0.3">
      <c r="A189" s="6">
        <v>10184</v>
      </c>
      <c r="B189" s="3" t="s">
        <v>206</v>
      </c>
      <c r="C189" s="3" t="s">
        <v>207</v>
      </c>
      <c r="D189" s="3" t="s">
        <v>208</v>
      </c>
      <c r="E189" s="3" t="s">
        <v>154</v>
      </c>
      <c r="F189" s="3" t="s">
        <v>209</v>
      </c>
      <c r="G189" s="3" t="s">
        <v>99</v>
      </c>
      <c r="H189" s="3" t="s">
        <v>92</v>
      </c>
      <c r="I189" s="4">
        <v>2</v>
      </c>
      <c r="J189" s="4">
        <v>4437</v>
      </c>
      <c r="K189" s="4"/>
      <c r="L189" s="3" t="s">
        <v>210</v>
      </c>
      <c r="M189" s="3" t="s">
        <v>24</v>
      </c>
      <c r="N189" s="3" t="s">
        <v>25</v>
      </c>
      <c r="O189" s="3" t="s">
        <v>53</v>
      </c>
      <c r="P189" s="8">
        <v>2</v>
      </c>
    </row>
    <row r="190" spans="1:16" x14ac:dyDescent="0.3">
      <c r="A190" s="5">
        <v>10185</v>
      </c>
      <c r="B190" s="1" t="s">
        <v>631</v>
      </c>
      <c r="C190" s="1" t="s">
        <v>632</v>
      </c>
      <c r="D190" s="1" t="s">
        <v>633</v>
      </c>
      <c r="E190" s="1" t="s">
        <v>130</v>
      </c>
      <c r="F190" s="1" t="s">
        <v>20</v>
      </c>
      <c r="G190" s="1" t="s">
        <v>280</v>
      </c>
      <c r="H190" s="1" t="s">
        <v>41</v>
      </c>
      <c r="I190" s="2">
        <v>1</v>
      </c>
      <c r="J190" s="2">
        <v>103</v>
      </c>
      <c r="K190" s="2"/>
      <c r="L190" s="1" t="s">
        <v>634</v>
      </c>
      <c r="M190" s="1" t="s">
        <v>69</v>
      </c>
      <c r="N190" s="1" t="s">
        <v>25</v>
      </c>
      <c r="O190" s="1" t="s">
        <v>53</v>
      </c>
      <c r="P190" s="7">
        <v>1</v>
      </c>
    </row>
    <row r="191" spans="1:16" x14ac:dyDescent="0.3">
      <c r="A191" s="6">
        <v>10186</v>
      </c>
      <c r="B191" s="3" t="s">
        <v>109</v>
      </c>
      <c r="C191" s="3" t="s">
        <v>17</v>
      </c>
      <c r="D191" s="3"/>
      <c r="E191" s="3" t="s">
        <v>110</v>
      </c>
      <c r="F191" s="3" t="s">
        <v>111</v>
      </c>
      <c r="G191" s="3" t="s">
        <v>112</v>
      </c>
      <c r="H191" s="3" t="s">
        <v>83</v>
      </c>
      <c r="I191" s="4">
        <v>3</v>
      </c>
      <c r="J191" s="4">
        <v>27207</v>
      </c>
      <c r="K191" s="4">
        <v>20</v>
      </c>
      <c r="L191" s="3" t="s">
        <v>113</v>
      </c>
      <c r="M191" s="3" t="s">
        <v>78</v>
      </c>
      <c r="N191" s="3" t="s">
        <v>33</v>
      </c>
      <c r="O191" s="3" t="s">
        <v>53</v>
      </c>
      <c r="P191" s="8">
        <v>2</v>
      </c>
    </row>
    <row r="192" spans="1:16" x14ac:dyDescent="0.3">
      <c r="A192" s="5">
        <v>10187</v>
      </c>
      <c r="B192" s="1" t="s">
        <v>201</v>
      </c>
      <c r="C192" s="1" t="s">
        <v>1491</v>
      </c>
      <c r="D192" s="1" t="s">
        <v>1588</v>
      </c>
      <c r="E192" s="1" t="s">
        <v>343</v>
      </c>
      <c r="F192" s="1" t="s">
        <v>265</v>
      </c>
      <c r="G192" s="1" t="s">
        <v>179</v>
      </c>
      <c r="H192" s="1" t="s">
        <v>60</v>
      </c>
      <c r="I192" s="2">
        <v>5</v>
      </c>
      <c r="J192" s="2">
        <v>781</v>
      </c>
      <c r="K192" s="2">
        <v>5</v>
      </c>
      <c r="L192" s="1" t="s">
        <v>1589</v>
      </c>
      <c r="M192" s="1" t="s">
        <v>78</v>
      </c>
      <c r="N192" s="1" t="s">
        <v>25</v>
      </c>
      <c r="O192" s="1" t="s">
        <v>53</v>
      </c>
      <c r="P192" s="7">
        <v>4</v>
      </c>
    </row>
    <row r="193" spans="1:16" x14ac:dyDescent="0.3">
      <c r="A193" s="5">
        <v>10188</v>
      </c>
      <c r="B193" s="1" t="s">
        <v>594</v>
      </c>
      <c r="C193" s="1" t="s">
        <v>502</v>
      </c>
      <c r="D193" s="1" t="s">
        <v>595</v>
      </c>
      <c r="E193" s="1" t="s">
        <v>74</v>
      </c>
      <c r="F193" s="1" t="s">
        <v>596</v>
      </c>
      <c r="G193" s="1" t="s">
        <v>544</v>
      </c>
      <c r="H193" s="1" t="s">
        <v>83</v>
      </c>
      <c r="I193" s="2">
        <v>1</v>
      </c>
      <c r="J193" s="2">
        <v>52269</v>
      </c>
      <c r="K193" s="2">
        <v>10</v>
      </c>
      <c r="L193" s="1" t="s">
        <v>597</v>
      </c>
      <c r="M193" s="1" t="s">
        <v>157</v>
      </c>
      <c r="N193" s="1" t="s">
        <v>25</v>
      </c>
      <c r="O193" s="1" t="s">
        <v>174</v>
      </c>
      <c r="P193" s="7"/>
    </row>
    <row r="194" spans="1:16" x14ac:dyDescent="0.3">
      <c r="A194" s="6">
        <v>10189</v>
      </c>
      <c r="B194" s="3" t="s">
        <v>282</v>
      </c>
      <c r="C194" s="3" t="s">
        <v>283</v>
      </c>
      <c r="D194" s="3" t="s">
        <v>284</v>
      </c>
      <c r="E194" s="3" t="s">
        <v>172</v>
      </c>
      <c r="F194" s="3" t="s">
        <v>150</v>
      </c>
      <c r="G194" s="3" t="s">
        <v>285</v>
      </c>
      <c r="H194" s="3" t="s">
        <v>92</v>
      </c>
      <c r="I194" s="4">
        <v>3</v>
      </c>
      <c r="J194" s="4">
        <v>1362</v>
      </c>
      <c r="K194" s="4">
        <v>0</v>
      </c>
      <c r="L194" s="3" t="s">
        <v>286</v>
      </c>
      <c r="M194" s="3" t="s">
        <v>85</v>
      </c>
      <c r="N194" s="3" t="s">
        <v>70</v>
      </c>
      <c r="O194" s="3" t="s">
        <v>53</v>
      </c>
      <c r="P194" s="8">
        <v>5</v>
      </c>
    </row>
    <row r="195" spans="1:16" x14ac:dyDescent="0.3">
      <c r="A195" s="6">
        <v>10190</v>
      </c>
      <c r="B195" s="3" t="s">
        <v>778</v>
      </c>
      <c r="C195" s="3"/>
      <c r="D195" s="3" t="s">
        <v>779</v>
      </c>
      <c r="E195" s="3" t="s">
        <v>38</v>
      </c>
      <c r="F195" s="3" t="s">
        <v>453</v>
      </c>
      <c r="G195" s="3" t="s">
        <v>454</v>
      </c>
      <c r="H195" s="3" t="s">
        <v>83</v>
      </c>
      <c r="I195" s="4">
        <v>1</v>
      </c>
      <c r="J195" s="4">
        <v>2997</v>
      </c>
      <c r="K195" s="4">
        <v>10</v>
      </c>
      <c r="L195" s="3" t="s">
        <v>780</v>
      </c>
      <c r="M195" s="3" t="s">
        <v>78</v>
      </c>
      <c r="N195" s="3" t="s">
        <v>25</v>
      </c>
      <c r="O195" s="3"/>
      <c r="P195" s="8">
        <v>3</v>
      </c>
    </row>
    <row r="196" spans="1:16" x14ac:dyDescent="0.3">
      <c r="A196" s="6">
        <v>10191</v>
      </c>
      <c r="B196" s="3" t="s">
        <v>1512</v>
      </c>
      <c r="C196" s="3" t="s">
        <v>217</v>
      </c>
      <c r="D196" s="3" t="s">
        <v>1513</v>
      </c>
      <c r="E196" s="3" t="s">
        <v>371</v>
      </c>
      <c r="F196" s="3" t="s">
        <v>98</v>
      </c>
      <c r="G196" s="3" t="s">
        <v>280</v>
      </c>
      <c r="H196" s="3" t="s">
        <v>41</v>
      </c>
      <c r="I196" s="4">
        <v>3</v>
      </c>
      <c r="J196" s="4">
        <v>161</v>
      </c>
      <c r="K196" s="4"/>
      <c r="L196" s="3" t="s">
        <v>1514</v>
      </c>
      <c r="M196" s="3" t="s">
        <v>94</v>
      </c>
      <c r="N196" s="3" t="s">
        <v>25</v>
      </c>
      <c r="O196" s="3"/>
      <c r="P196" s="8">
        <v>3</v>
      </c>
    </row>
    <row r="197" spans="1:16" x14ac:dyDescent="0.3">
      <c r="A197" s="6">
        <v>10192</v>
      </c>
      <c r="B197" s="3" t="s">
        <v>329</v>
      </c>
      <c r="C197" s="3"/>
      <c r="D197" s="3" t="s">
        <v>403</v>
      </c>
      <c r="E197" s="3" t="s">
        <v>197</v>
      </c>
      <c r="F197" s="3" t="s">
        <v>191</v>
      </c>
      <c r="G197" s="3" t="s">
        <v>179</v>
      </c>
      <c r="H197" s="3" t="s">
        <v>60</v>
      </c>
      <c r="I197" s="4">
        <v>5</v>
      </c>
      <c r="J197" s="4">
        <v>240</v>
      </c>
      <c r="K197" s="4"/>
      <c r="L197" s="3" t="s">
        <v>304</v>
      </c>
      <c r="M197" s="3" t="s">
        <v>157</v>
      </c>
      <c r="N197" s="3" t="s">
        <v>25</v>
      </c>
      <c r="O197" s="3" t="s">
        <v>53</v>
      </c>
      <c r="P197" s="8">
        <v>2</v>
      </c>
    </row>
    <row r="198" spans="1:16" x14ac:dyDescent="0.3">
      <c r="A198" s="5">
        <v>10193</v>
      </c>
      <c r="B198" s="1" t="s">
        <v>594</v>
      </c>
      <c r="C198" s="1" t="s">
        <v>502</v>
      </c>
      <c r="D198" s="1" t="s">
        <v>1257</v>
      </c>
      <c r="E198" s="1" t="s">
        <v>149</v>
      </c>
      <c r="F198" s="1" t="s">
        <v>354</v>
      </c>
      <c r="G198" s="1" t="s">
        <v>221</v>
      </c>
      <c r="H198" s="1" t="s">
        <v>83</v>
      </c>
      <c r="I198" s="2">
        <v>5</v>
      </c>
      <c r="J198" s="2">
        <v>29648</v>
      </c>
      <c r="K198" s="2">
        <v>5</v>
      </c>
      <c r="L198" s="1" t="s">
        <v>1258</v>
      </c>
      <c r="M198" s="1" t="s">
        <v>78</v>
      </c>
      <c r="N198" s="1" t="s">
        <v>70</v>
      </c>
      <c r="O198" s="1" t="s">
        <v>71</v>
      </c>
      <c r="P198" s="7">
        <v>5</v>
      </c>
    </row>
    <row r="199" spans="1:16" x14ac:dyDescent="0.3">
      <c r="A199" s="6">
        <v>10194</v>
      </c>
      <c r="B199" s="3" t="s">
        <v>864</v>
      </c>
      <c r="C199" s="3" t="s">
        <v>746</v>
      </c>
      <c r="D199" s="3" t="s">
        <v>865</v>
      </c>
      <c r="E199" s="3" t="s">
        <v>38</v>
      </c>
      <c r="F199" s="3" t="s">
        <v>429</v>
      </c>
      <c r="G199" s="3" t="s">
        <v>161</v>
      </c>
      <c r="H199" s="3" t="s">
        <v>83</v>
      </c>
      <c r="I199" s="4">
        <v>5</v>
      </c>
      <c r="J199" s="4">
        <v>26534</v>
      </c>
      <c r="K199" s="4">
        <v>15</v>
      </c>
      <c r="L199" s="3" t="s">
        <v>866</v>
      </c>
      <c r="M199" s="3" t="s">
        <v>24</v>
      </c>
      <c r="N199" s="3" t="s">
        <v>25</v>
      </c>
      <c r="O199" s="3" t="s">
        <v>45</v>
      </c>
      <c r="P199" s="8"/>
    </row>
    <row r="200" spans="1:16" x14ac:dyDescent="0.3">
      <c r="A200" s="5">
        <v>10195</v>
      </c>
      <c r="B200" s="1" t="s">
        <v>16</v>
      </c>
      <c r="C200" s="1" t="s">
        <v>17</v>
      </c>
      <c r="D200" s="1" t="s">
        <v>18</v>
      </c>
      <c r="E200" s="1" t="s">
        <v>19</v>
      </c>
      <c r="F200" s="1" t="s">
        <v>20</v>
      </c>
      <c r="G200" s="1" t="s">
        <v>21</v>
      </c>
      <c r="H200" s="1" t="s">
        <v>22</v>
      </c>
      <c r="I200" s="2">
        <v>5</v>
      </c>
      <c r="J200" s="2">
        <v>890</v>
      </c>
      <c r="K200" s="2">
        <v>5</v>
      </c>
      <c r="L200" s="1" t="s">
        <v>23</v>
      </c>
      <c r="M200" s="1" t="s">
        <v>24</v>
      </c>
      <c r="N200" s="1" t="s">
        <v>25</v>
      </c>
      <c r="O200" s="1"/>
      <c r="P200" s="7">
        <v>5</v>
      </c>
    </row>
    <row r="201" spans="1:16" x14ac:dyDescent="0.3">
      <c r="A201" s="5">
        <v>10196</v>
      </c>
      <c r="B201" s="1" t="s">
        <v>466</v>
      </c>
      <c r="C201" s="1" t="s">
        <v>467</v>
      </c>
      <c r="D201" s="1" t="s">
        <v>468</v>
      </c>
      <c r="E201" s="1" t="s">
        <v>469</v>
      </c>
      <c r="F201" s="1" t="s">
        <v>75</v>
      </c>
      <c r="G201" s="1" t="s">
        <v>454</v>
      </c>
      <c r="H201" s="1" t="s">
        <v>83</v>
      </c>
      <c r="I201" s="2">
        <v>5</v>
      </c>
      <c r="J201" s="2">
        <v>2887</v>
      </c>
      <c r="K201" s="2">
        <v>5</v>
      </c>
      <c r="L201" s="1" t="s">
        <v>470</v>
      </c>
      <c r="M201" s="1" t="s">
        <v>145</v>
      </c>
      <c r="N201" s="1" t="s">
        <v>413</v>
      </c>
      <c r="O201" s="1" t="s">
        <v>34</v>
      </c>
      <c r="P201" s="7"/>
    </row>
    <row r="202" spans="1:16" x14ac:dyDescent="0.3">
      <c r="A202" s="5">
        <v>10197</v>
      </c>
      <c r="B202" s="1" t="s">
        <v>797</v>
      </c>
      <c r="C202" s="1" t="s">
        <v>245</v>
      </c>
      <c r="D202" s="1" t="s">
        <v>798</v>
      </c>
      <c r="E202" s="1" t="s">
        <v>253</v>
      </c>
      <c r="F202" s="1" t="s">
        <v>50</v>
      </c>
      <c r="G202" s="1" t="s">
        <v>298</v>
      </c>
      <c r="H202" s="1" t="s">
        <v>22</v>
      </c>
      <c r="I202" s="2">
        <v>4</v>
      </c>
      <c r="J202" s="2">
        <v>1337</v>
      </c>
      <c r="K202" s="2">
        <v>5</v>
      </c>
      <c r="L202" s="1" t="s">
        <v>799</v>
      </c>
      <c r="M202" s="1" t="s">
        <v>43</v>
      </c>
      <c r="N202" s="1" t="s">
        <v>25</v>
      </c>
      <c r="O202" s="1"/>
      <c r="P202" s="7"/>
    </row>
    <row r="203" spans="1:16" x14ac:dyDescent="0.3">
      <c r="A203" s="5">
        <v>10198</v>
      </c>
      <c r="B203" s="1" t="s">
        <v>1303</v>
      </c>
      <c r="C203" s="1" t="s">
        <v>1030</v>
      </c>
      <c r="D203" s="1" t="s">
        <v>1304</v>
      </c>
      <c r="E203" s="1" t="s">
        <v>367</v>
      </c>
      <c r="F203" s="1" t="s">
        <v>50</v>
      </c>
      <c r="G203" s="1" t="s">
        <v>99</v>
      </c>
      <c r="H203" s="1" t="s">
        <v>92</v>
      </c>
      <c r="I203" s="2">
        <v>3</v>
      </c>
      <c r="J203" s="2">
        <v>2054</v>
      </c>
      <c r="K203" s="2"/>
      <c r="L203" s="1" t="s">
        <v>1305</v>
      </c>
      <c r="M203" s="1" t="s">
        <v>43</v>
      </c>
      <c r="N203" s="1" t="s">
        <v>814</v>
      </c>
      <c r="O203" s="1"/>
      <c r="P203" s="7"/>
    </row>
    <row r="204" spans="1:16" x14ac:dyDescent="0.3">
      <c r="A204" s="5">
        <v>10199</v>
      </c>
      <c r="B204" s="1" t="s">
        <v>394</v>
      </c>
      <c r="C204" s="1" t="s">
        <v>212</v>
      </c>
      <c r="D204" s="1" t="s">
        <v>1619</v>
      </c>
      <c r="E204" s="1" t="s">
        <v>97</v>
      </c>
      <c r="F204" s="1" t="s">
        <v>209</v>
      </c>
      <c r="G204" s="1" t="s">
        <v>59</v>
      </c>
      <c r="H204" s="1" t="s">
        <v>60</v>
      </c>
      <c r="I204" s="2">
        <v>1</v>
      </c>
      <c r="J204" s="2">
        <v>793</v>
      </c>
      <c r="K204" s="2">
        <v>15</v>
      </c>
      <c r="L204" s="1" t="s">
        <v>1620</v>
      </c>
      <c r="M204" s="1" t="s">
        <v>157</v>
      </c>
      <c r="N204" s="1" t="s">
        <v>33</v>
      </c>
      <c r="O204" s="1" t="s">
        <v>71</v>
      </c>
      <c r="P204" s="7">
        <v>1</v>
      </c>
    </row>
    <row r="205" spans="1:16" x14ac:dyDescent="0.3">
      <c r="A205" s="6">
        <v>10200</v>
      </c>
      <c r="B205" s="3" t="s">
        <v>651</v>
      </c>
      <c r="C205" s="3" t="s">
        <v>1161</v>
      </c>
      <c r="D205" s="3" t="s">
        <v>1162</v>
      </c>
      <c r="E205" s="3" t="s">
        <v>111</v>
      </c>
      <c r="F205" s="3" t="s">
        <v>615</v>
      </c>
      <c r="G205" s="3" t="s">
        <v>642</v>
      </c>
      <c r="H205" s="3" t="s">
        <v>22</v>
      </c>
      <c r="I205" s="4">
        <v>3</v>
      </c>
      <c r="J205" s="4">
        <v>1100</v>
      </c>
      <c r="K205" s="4">
        <v>15</v>
      </c>
      <c r="L205" s="3" t="s">
        <v>1163</v>
      </c>
      <c r="M205" s="3" t="s">
        <v>43</v>
      </c>
      <c r="N205" s="3" t="s">
        <v>25</v>
      </c>
      <c r="O205" s="3" t="s">
        <v>53</v>
      </c>
      <c r="P205" s="8">
        <v>3</v>
      </c>
    </row>
    <row r="206" spans="1:16" x14ac:dyDescent="0.3">
      <c r="A206" s="5">
        <v>10201</v>
      </c>
      <c r="B206" s="1" t="s">
        <v>696</v>
      </c>
      <c r="C206" s="1" t="s">
        <v>566</v>
      </c>
      <c r="D206" s="1" t="s">
        <v>697</v>
      </c>
      <c r="E206" s="1" t="s">
        <v>343</v>
      </c>
      <c r="F206" s="1" t="s">
        <v>20</v>
      </c>
      <c r="G206" s="1" t="s">
        <v>91</v>
      </c>
      <c r="H206" s="1" t="s">
        <v>92</v>
      </c>
      <c r="I206" s="2">
        <v>3</v>
      </c>
      <c r="J206" s="2">
        <v>4834</v>
      </c>
      <c r="K206" s="2"/>
      <c r="L206" s="1" t="s">
        <v>698</v>
      </c>
      <c r="M206" s="1" t="s">
        <v>186</v>
      </c>
      <c r="N206" s="1" t="s">
        <v>70</v>
      </c>
      <c r="O206" s="1"/>
      <c r="P206" s="7">
        <v>2</v>
      </c>
    </row>
    <row r="207" spans="1:16" x14ac:dyDescent="0.3">
      <c r="A207" s="6">
        <v>10202</v>
      </c>
      <c r="B207" s="3" t="s">
        <v>35</v>
      </c>
      <c r="C207" s="3"/>
      <c r="D207" s="3" t="s">
        <v>1410</v>
      </c>
      <c r="E207" s="3" t="s">
        <v>279</v>
      </c>
      <c r="F207" s="3" t="s">
        <v>332</v>
      </c>
      <c r="G207" s="3" t="s">
        <v>204</v>
      </c>
      <c r="H207" s="3" t="s">
        <v>143</v>
      </c>
      <c r="I207" s="4">
        <v>2</v>
      </c>
      <c r="J207" s="4">
        <v>215</v>
      </c>
      <c r="K207" s="4">
        <v>15</v>
      </c>
      <c r="L207" s="3" t="s">
        <v>1411</v>
      </c>
      <c r="M207" s="3" t="s">
        <v>32</v>
      </c>
      <c r="N207" s="3" t="s">
        <v>33</v>
      </c>
      <c r="O207" s="3" t="s">
        <v>53</v>
      </c>
      <c r="P207" s="8">
        <v>2</v>
      </c>
    </row>
    <row r="208" spans="1:16" x14ac:dyDescent="0.3">
      <c r="A208" s="5">
        <v>10203</v>
      </c>
      <c r="B208" s="1" t="s">
        <v>1106</v>
      </c>
      <c r="C208" s="1" t="s">
        <v>1107</v>
      </c>
      <c r="D208" s="1" t="s">
        <v>1228</v>
      </c>
      <c r="E208" s="1" t="s">
        <v>253</v>
      </c>
      <c r="F208" s="1" t="s">
        <v>50</v>
      </c>
      <c r="G208" s="1" t="s">
        <v>1095</v>
      </c>
      <c r="H208" s="1" t="s">
        <v>143</v>
      </c>
      <c r="I208" s="2">
        <v>4</v>
      </c>
      <c r="J208" s="2">
        <v>255</v>
      </c>
      <c r="K208" s="2">
        <v>5</v>
      </c>
      <c r="L208" s="1" t="s">
        <v>1229</v>
      </c>
      <c r="M208" s="1" t="s">
        <v>186</v>
      </c>
      <c r="N208" s="1" t="s">
        <v>70</v>
      </c>
      <c r="O208" s="1"/>
      <c r="P208" s="7">
        <v>2</v>
      </c>
    </row>
    <row r="209" spans="1:16" x14ac:dyDescent="0.3">
      <c r="A209" s="6">
        <v>10204</v>
      </c>
      <c r="B209" s="3" t="s">
        <v>290</v>
      </c>
      <c r="C209" s="3" t="s">
        <v>291</v>
      </c>
      <c r="D209" s="3" t="s">
        <v>292</v>
      </c>
      <c r="E209" s="3" t="s">
        <v>253</v>
      </c>
      <c r="F209" s="3" t="s">
        <v>50</v>
      </c>
      <c r="G209" s="3" t="s">
        <v>293</v>
      </c>
      <c r="H209" s="3" t="s">
        <v>60</v>
      </c>
      <c r="I209" s="4">
        <v>1</v>
      </c>
      <c r="J209" s="4">
        <v>296</v>
      </c>
      <c r="K209" s="4">
        <v>20</v>
      </c>
      <c r="L209" s="3" t="s">
        <v>294</v>
      </c>
      <c r="M209" s="3" t="s">
        <v>157</v>
      </c>
      <c r="N209" s="3" t="s">
        <v>25</v>
      </c>
      <c r="O209" s="3" t="s">
        <v>174</v>
      </c>
      <c r="P209" s="8">
        <v>2</v>
      </c>
    </row>
    <row r="210" spans="1:16" x14ac:dyDescent="0.3">
      <c r="A210" s="6">
        <v>10205</v>
      </c>
      <c r="B210" s="3" t="s">
        <v>940</v>
      </c>
      <c r="C210" s="3" t="s">
        <v>590</v>
      </c>
      <c r="D210" s="3" t="s">
        <v>941</v>
      </c>
      <c r="E210" s="3" t="s">
        <v>111</v>
      </c>
      <c r="F210" s="3" t="s">
        <v>117</v>
      </c>
      <c r="G210" s="3" t="s">
        <v>231</v>
      </c>
      <c r="H210" s="3" t="s">
        <v>83</v>
      </c>
      <c r="I210" s="4">
        <v>2</v>
      </c>
      <c r="J210" s="4">
        <v>1685</v>
      </c>
      <c r="K210" s="4">
        <v>20</v>
      </c>
      <c r="L210" s="3" t="s">
        <v>942</v>
      </c>
      <c r="M210" s="3" t="s">
        <v>78</v>
      </c>
      <c r="N210" s="3" t="s">
        <v>70</v>
      </c>
      <c r="O210" s="3" t="s">
        <v>71</v>
      </c>
      <c r="P210" s="8">
        <v>1</v>
      </c>
    </row>
    <row r="211" spans="1:16" x14ac:dyDescent="0.3">
      <c r="A211" s="6">
        <v>10206</v>
      </c>
      <c r="B211" s="3" t="s">
        <v>763</v>
      </c>
      <c r="C211" s="3" t="s">
        <v>182</v>
      </c>
      <c r="D211" s="3"/>
      <c r="E211" s="3" t="s">
        <v>269</v>
      </c>
      <c r="F211" s="3" t="s">
        <v>214</v>
      </c>
      <c r="G211" s="3" t="s">
        <v>142</v>
      </c>
      <c r="H211" s="3" t="s">
        <v>143</v>
      </c>
      <c r="I211" s="4">
        <v>2</v>
      </c>
      <c r="J211" s="4">
        <v>499</v>
      </c>
      <c r="K211" s="4">
        <v>0</v>
      </c>
      <c r="L211" s="3" t="s">
        <v>764</v>
      </c>
      <c r="M211" s="3" t="s">
        <v>157</v>
      </c>
      <c r="N211" s="3" t="s">
        <v>70</v>
      </c>
      <c r="O211" s="3" t="s">
        <v>53</v>
      </c>
      <c r="P211" s="8">
        <v>3</v>
      </c>
    </row>
    <row r="212" spans="1:16" x14ac:dyDescent="0.3">
      <c r="A212" s="6">
        <v>10207</v>
      </c>
      <c r="B212" s="3" t="s">
        <v>394</v>
      </c>
      <c r="C212" s="3" t="s">
        <v>212</v>
      </c>
      <c r="D212" s="3" t="s">
        <v>1506</v>
      </c>
      <c r="E212" s="3" t="s">
        <v>371</v>
      </c>
      <c r="F212" s="3" t="s">
        <v>98</v>
      </c>
      <c r="G212" s="3" t="s">
        <v>1507</v>
      </c>
      <c r="H212" s="3" t="s">
        <v>22</v>
      </c>
      <c r="I212" s="4">
        <v>5</v>
      </c>
      <c r="J212" s="4">
        <v>664</v>
      </c>
      <c r="K212" s="4"/>
      <c r="L212" s="3" t="s">
        <v>810</v>
      </c>
      <c r="M212" s="3" t="s">
        <v>78</v>
      </c>
      <c r="N212" s="3" t="s">
        <v>456</v>
      </c>
      <c r="O212" s="3" t="s">
        <v>53</v>
      </c>
      <c r="P212" s="8"/>
    </row>
    <row r="213" spans="1:16" x14ac:dyDescent="0.3">
      <c r="A213" s="6">
        <v>10208</v>
      </c>
      <c r="B213" s="3" t="s">
        <v>699</v>
      </c>
      <c r="C213" s="3" t="s">
        <v>506</v>
      </c>
      <c r="D213" s="3" t="s">
        <v>700</v>
      </c>
      <c r="E213" s="3" t="s">
        <v>701</v>
      </c>
      <c r="F213" s="3" t="s">
        <v>98</v>
      </c>
      <c r="G213" s="3" t="s">
        <v>397</v>
      </c>
      <c r="H213" s="3" t="s">
        <v>143</v>
      </c>
      <c r="I213" s="4">
        <v>3</v>
      </c>
      <c r="J213" s="4">
        <v>539</v>
      </c>
      <c r="K213" s="4"/>
      <c r="L213" s="3" t="s">
        <v>702</v>
      </c>
      <c r="M213" s="3" t="s">
        <v>69</v>
      </c>
      <c r="N213" s="3" t="s">
        <v>33</v>
      </c>
      <c r="O213" s="3" t="s">
        <v>34</v>
      </c>
      <c r="P213" s="8">
        <v>3</v>
      </c>
    </row>
    <row r="214" spans="1:16" x14ac:dyDescent="0.3">
      <c r="A214" s="6">
        <v>10209</v>
      </c>
      <c r="B214" s="3" t="s">
        <v>989</v>
      </c>
      <c r="C214" s="3" t="s">
        <v>426</v>
      </c>
      <c r="D214" s="3" t="s">
        <v>990</v>
      </c>
      <c r="E214" s="3" t="s">
        <v>110</v>
      </c>
      <c r="F214" s="3" t="s">
        <v>111</v>
      </c>
      <c r="G214" s="3" t="s">
        <v>204</v>
      </c>
      <c r="H214" s="3" t="s">
        <v>143</v>
      </c>
      <c r="I214" s="4">
        <v>5</v>
      </c>
      <c r="J214" s="4">
        <v>195</v>
      </c>
      <c r="K214" s="4">
        <v>5</v>
      </c>
      <c r="L214" s="3" t="s">
        <v>991</v>
      </c>
      <c r="M214" s="3" t="s">
        <v>78</v>
      </c>
      <c r="N214" s="3" t="s">
        <v>33</v>
      </c>
      <c r="O214" s="3" t="s">
        <v>71</v>
      </c>
      <c r="P214" s="8">
        <v>1</v>
      </c>
    </row>
    <row r="215" spans="1:16" x14ac:dyDescent="0.3">
      <c r="A215" s="5">
        <v>10210</v>
      </c>
      <c r="B215" s="1" t="s">
        <v>961</v>
      </c>
      <c r="C215" s="1" t="s">
        <v>346</v>
      </c>
      <c r="D215" s="1" t="s">
        <v>962</v>
      </c>
      <c r="E215" s="1" t="s">
        <v>343</v>
      </c>
      <c r="F215" s="1" t="s">
        <v>362</v>
      </c>
      <c r="G215" s="1" t="s">
        <v>958</v>
      </c>
      <c r="H215" s="1" t="s">
        <v>83</v>
      </c>
      <c r="I215" s="2">
        <v>4</v>
      </c>
      <c r="J215" s="2">
        <v>26416</v>
      </c>
      <c r="K215" s="2">
        <v>5</v>
      </c>
      <c r="L215" s="1" t="s">
        <v>42</v>
      </c>
      <c r="M215" s="1" t="s">
        <v>85</v>
      </c>
      <c r="N215" s="1" t="s">
        <v>25</v>
      </c>
      <c r="O215" s="1" t="s">
        <v>174</v>
      </c>
      <c r="P215" s="7">
        <v>3</v>
      </c>
    </row>
    <row r="216" spans="1:16" x14ac:dyDescent="0.3">
      <c r="A216" s="5">
        <v>10211</v>
      </c>
      <c r="B216" s="1" t="s">
        <v>1333</v>
      </c>
      <c r="C216" s="1" t="s">
        <v>1334</v>
      </c>
      <c r="D216" s="1" t="s">
        <v>1335</v>
      </c>
      <c r="E216" s="1" t="s">
        <v>738</v>
      </c>
      <c r="F216" s="1" t="s">
        <v>348</v>
      </c>
      <c r="G216" s="1" t="s">
        <v>198</v>
      </c>
      <c r="H216" s="1" t="s">
        <v>41</v>
      </c>
      <c r="I216" s="2">
        <v>1</v>
      </c>
      <c r="J216" s="2">
        <v>237</v>
      </c>
      <c r="K216" s="2">
        <v>20</v>
      </c>
      <c r="L216" s="1" t="s">
        <v>1336</v>
      </c>
      <c r="M216" s="1" t="s">
        <v>43</v>
      </c>
      <c r="N216" s="1" t="s">
        <v>33</v>
      </c>
      <c r="O216" s="1" t="s">
        <v>174</v>
      </c>
      <c r="P216" s="7">
        <v>4</v>
      </c>
    </row>
    <row r="217" spans="1:16" x14ac:dyDescent="0.3">
      <c r="A217" s="6">
        <v>10212</v>
      </c>
      <c r="B217" s="3" t="s">
        <v>1578</v>
      </c>
      <c r="C217" s="3" t="s">
        <v>1579</v>
      </c>
      <c r="D217" s="3" t="s">
        <v>1580</v>
      </c>
      <c r="E217" s="3" t="s">
        <v>532</v>
      </c>
      <c r="F217" s="3" t="s">
        <v>150</v>
      </c>
      <c r="G217" s="3" t="s">
        <v>155</v>
      </c>
      <c r="H217" s="3" t="s">
        <v>92</v>
      </c>
      <c r="I217" s="4">
        <v>5</v>
      </c>
      <c r="J217" s="4">
        <v>560</v>
      </c>
      <c r="K217" s="4"/>
      <c r="L217" s="3" t="s">
        <v>1476</v>
      </c>
      <c r="M217" s="3" t="s">
        <v>78</v>
      </c>
      <c r="N217" s="3" t="s">
        <v>25</v>
      </c>
      <c r="O217" s="3" t="s">
        <v>174</v>
      </c>
      <c r="P217" s="8">
        <v>2</v>
      </c>
    </row>
    <row r="218" spans="1:16" x14ac:dyDescent="0.3">
      <c r="A218" s="5">
        <v>10213</v>
      </c>
      <c r="B218" s="1" t="s">
        <v>1448</v>
      </c>
      <c r="C218" s="1" t="s">
        <v>1449</v>
      </c>
      <c r="D218" s="1" t="s">
        <v>1450</v>
      </c>
      <c r="E218" s="1" t="s">
        <v>473</v>
      </c>
      <c r="F218" s="1" t="s">
        <v>75</v>
      </c>
      <c r="G218" s="1" t="s">
        <v>338</v>
      </c>
      <c r="H218" s="1" t="s">
        <v>22</v>
      </c>
      <c r="I218" s="2">
        <v>2</v>
      </c>
      <c r="J218" s="2">
        <v>975</v>
      </c>
      <c r="K218" s="2">
        <v>20</v>
      </c>
      <c r="L218" s="1" t="s">
        <v>1451</v>
      </c>
      <c r="M218" s="1" t="s">
        <v>43</v>
      </c>
      <c r="N218" s="1" t="s">
        <v>25</v>
      </c>
      <c r="O218" s="1" t="s">
        <v>174</v>
      </c>
      <c r="P218" s="7"/>
    </row>
    <row r="219" spans="1:16" x14ac:dyDescent="0.3">
      <c r="A219" s="5">
        <v>10214</v>
      </c>
      <c r="B219" s="1" t="s">
        <v>276</v>
      </c>
      <c r="C219" s="1" t="s">
        <v>277</v>
      </c>
      <c r="D219" s="1" t="s">
        <v>278</v>
      </c>
      <c r="E219" s="1" t="s">
        <v>279</v>
      </c>
      <c r="F219" s="1" t="s">
        <v>259</v>
      </c>
      <c r="G219" s="1" t="s">
        <v>280</v>
      </c>
      <c r="H219" s="1" t="s">
        <v>41</v>
      </c>
      <c r="I219" s="2">
        <v>5</v>
      </c>
      <c r="J219" s="2">
        <v>193</v>
      </c>
      <c r="K219" s="2">
        <v>20</v>
      </c>
      <c r="L219" s="1" t="s">
        <v>281</v>
      </c>
      <c r="M219" s="1" t="s">
        <v>200</v>
      </c>
      <c r="N219" s="1" t="s">
        <v>33</v>
      </c>
      <c r="O219" s="1" t="s">
        <v>174</v>
      </c>
      <c r="P219" s="7">
        <v>1</v>
      </c>
    </row>
    <row r="220" spans="1:16" x14ac:dyDescent="0.3">
      <c r="A220" s="6">
        <v>10215</v>
      </c>
      <c r="B220" s="3" t="s">
        <v>923</v>
      </c>
      <c r="C220" s="3" t="s">
        <v>924</v>
      </c>
      <c r="D220" s="3" t="s">
        <v>1337</v>
      </c>
      <c r="E220" s="3" t="s">
        <v>1285</v>
      </c>
      <c r="F220" s="3" t="s">
        <v>75</v>
      </c>
      <c r="G220" s="3" t="s">
        <v>204</v>
      </c>
      <c r="H220" s="3" t="s">
        <v>143</v>
      </c>
      <c r="I220" s="4">
        <v>3</v>
      </c>
      <c r="J220" s="4">
        <v>344</v>
      </c>
      <c r="K220" s="4">
        <v>0</v>
      </c>
      <c r="L220" s="3" t="s">
        <v>1338</v>
      </c>
      <c r="M220" s="3" t="s">
        <v>69</v>
      </c>
      <c r="N220" s="3" t="s">
        <v>25</v>
      </c>
      <c r="O220" s="3" t="s">
        <v>34</v>
      </c>
      <c r="P220" s="8">
        <v>1</v>
      </c>
    </row>
    <row r="221" spans="1:16" x14ac:dyDescent="0.3">
      <c r="A221" s="6">
        <v>10216</v>
      </c>
      <c r="B221" s="3" t="s">
        <v>133</v>
      </c>
      <c r="C221" s="3" t="s">
        <v>134</v>
      </c>
      <c r="D221" s="3" t="s">
        <v>135</v>
      </c>
      <c r="E221" s="3" t="s">
        <v>57</v>
      </c>
      <c r="F221" s="3" t="s">
        <v>50</v>
      </c>
      <c r="G221" s="3" t="s">
        <v>136</v>
      </c>
      <c r="H221" s="3" t="s">
        <v>22</v>
      </c>
      <c r="I221" s="4">
        <v>5</v>
      </c>
      <c r="J221" s="4">
        <v>1777</v>
      </c>
      <c r="K221" s="4">
        <v>0</v>
      </c>
      <c r="L221" s="3" t="s">
        <v>137</v>
      </c>
      <c r="M221" s="3" t="s">
        <v>69</v>
      </c>
      <c r="N221" s="3" t="s">
        <v>25</v>
      </c>
      <c r="O221" s="3" t="s">
        <v>34</v>
      </c>
      <c r="P221" s="8">
        <v>3</v>
      </c>
    </row>
    <row r="222" spans="1:16" x14ac:dyDescent="0.3">
      <c r="A222" s="5">
        <v>10217</v>
      </c>
      <c r="B222" s="1" t="s">
        <v>870</v>
      </c>
      <c r="C222" s="1" t="s">
        <v>871</v>
      </c>
      <c r="D222" s="1"/>
      <c r="E222" s="1" t="s">
        <v>197</v>
      </c>
      <c r="F222" s="1" t="s">
        <v>191</v>
      </c>
      <c r="G222" s="1" t="s">
        <v>368</v>
      </c>
      <c r="H222" s="1" t="s">
        <v>22</v>
      </c>
      <c r="I222" s="2">
        <v>5</v>
      </c>
      <c r="J222" s="2">
        <v>1971</v>
      </c>
      <c r="K222" s="2">
        <v>0</v>
      </c>
      <c r="L222" s="1" t="s">
        <v>1409</v>
      </c>
      <c r="M222" s="1" t="s">
        <v>69</v>
      </c>
      <c r="N222" s="1" t="s">
        <v>25</v>
      </c>
      <c r="O222" s="1" t="s">
        <v>71</v>
      </c>
      <c r="P222" s="7">
        <v>5</v>
      </c>
    </row>
    <row r="223" spans="1:16" x14ac:dyDescent="0.3">
      <c r="A223" s="6">
        <v>10218</v>
      </c>
      <c r="B223" s="3" t="s">
        <v>976</v>
      </c>
      <c r="C223" s="3" t="s">
        <v>902</v>
      </c>
      <c r="D223" s="3" t="s">
        <v>977</v>
      </c>
      <c r="E223" s="3" t="s">
        <v>258</v>
      </c>
      <c r="F223" s="3" t="s">
        <v>576</v>
      </c>
      <c r="G223" s="3" t="s">
        <v>407</v>
      </c>
      <c r="H223" s="3" t="s">
        <v>83</v>
      </c>
      <c r="I223" s="4">
        <v>2</v>
      </c>
      <c r="J223" s="4">
        <v>19287</v>
      </c>
      <c r="K223" s="4">
        <v>5</v>
      </c>
      <c r="L223" s="3" t="s">
        <v>978</v>
      </c>
      <c r="M223" s="3" t="s">
        <v>69</v>
      </c>
      <c r="N223" s="3" t="s">
        <v>33</v>
      </c>
      <c r="O223" s="3" t="s">
        <v>53</v>
      </c>
      <c r="P223" s="8">
        <v>5</v>
      </c>
    </row>
    <row r="224" spans="1:16" x14ac:dyDescent="0.3">
      <c r="A224" s="6">
        <v>10219</v>
      </c>
      <c r="B224" s="3" t="s">
        <v>228</v>
      </c>
      <c r="C224" s="3" t="s">
        <v>229</v>
      </c>
      <c r="D224" s="3" t="s">
        <v>230</v>
      </c>
      <c r="E224" s="3" t="s">
        <v>197</v>
      </c>
      <c r="F224" s="3" t="s">
        <v>191</v>
      </c>
      <c r="G224" s="3" t="s">
        <v>231</v>
      </c>
      <c r="H224" s="3" t="s">
        <v>83</v>
      </c>
      <c r="I224" s="4">
        <v>3</v>
      </c>
      <c r="J224" s="4">
        <v>4447</v>
      </c>
      <c r="K224" s="4">
        <v>10</v>
      </c>
      <c r="L224" s="3" t="s">
        <v>232</v>
      </c>
      <c r="M224" s="3" t="s">
        <v>94</v>
      </c>
      <c r="N224" s="3" t="s">
        <v>25</v>
      </c>
      <c r="O224" s="3" t="s">
        <v>34</v>
      </c>
      <c r="P224" s="8"/>
    </row>
    <row r="225" spans="1:16" x14ac:dyDescent="0.3">
      <c r="A225" s="5">
        <v>10220</v>
      </c>
      <c r="B225" s="1" t="s">
        <v>1630</v>
      </c>
      <c r="C225" s="1" t="s">
        <v>1401</v>
      </c>
      <c r="D225" s="1" t="s">
        <v>1631</v>
      </c>
      <c r="E225" s="1" t="s">
        <v>445</v>
      </c>
      <c r="F225" s="1" t="s">
        <v>429</v>
      </c>
      <c r="G225" s="1" t="s">
        <v>82</v>
      </c>
      <c r="H225" s="1" t="s">
        <v>83</v>
      </c>
      <c r="I225" s="2">
        <v>3</v>
      </c>
      <c r="J225" s="2">
        <v>58493</v>
      </c>
      <c r="K225" s="2">
        <v>0</v>
      </c>
      <c r="L225" s="1" t="s">
        <v>1632</v>
      </c>
      <c r="M225" s="1" t="s">
        <v>69</v>
      </c>
      <c r="N225" s="1" t="s">
        <v>33</v>
      </c>
      <c r="O225" s="1" t="s">
        <v>45</v>
      </c>
      <c r="P225" s="7">
        <v>1</v>
      </c>
    </row>
    <row r="226" spans="1:16" x14ac:dyDescent="0.3">
      <c r="A226" s="5">
        <v>10221</v>
      </c>
      <c r="B226" s="1" t="s">
        <v>807</v>
      </c>
      <c r="C226" s="1" t="s">
        <v>808</v>
      </c>
      <c r="D226" s="1" t="s">
        <v>1349</v>
      </c>
      <c r="E226" s="1" t="s">
        <v>111</v>
      </c>
      <c r="F226" s="1" t="s">
        <v>111</v>
      </c>
      <c r="G226" s="1" t="s">
        <v>493</v>
      </c>
      <c r="H226" s="1" t="s">
        <v>92</v>
      </c>
      <c r="I226" s="2">
        <v>5</v>
      </c>
      <c r="J226" s="2">
        <v>1319</v>
      </c>
      <c r="K226" s="2"/>
      <c r="L226" s="1" t="s">
        <v>1350</v>
      </c>
      <c r="M226" s="1" t="s">
        <v>43</v>
      </c>
      <c r="N226" s="1" t="s">
        <v>70</v>
      </c>
      <c r="O226" s="1" t="s">
        <v>34</v>
      </c>
      <c r="P226" s="7">
        <v>2</v>
      </c>
    </row>
    <row r="227" spans="1:16" x14ac:dyDescent="0.3">
      <c r="A227" s="5">
        <v>10222</v>
      </c>
      <c r="B227" s="1" t="s">
        <v>383</v>
      </c>
      <c r="C227" s="1" t="s">
        <v>384</v>
      </c>
      <c r="D227" s="1" t="s">
        <v>1101</v>
      </c>
      <c r="E227" s="1" t="s">
        <v>117</v>
      </c>
      <c r="F227" s="1" t="s">
        <v>110</v>
      </c>
      <c r="G227" s="1" t="s">
        <v>226</v>
      </c>
      <c r="H227" s="1" t="s">
        <v>22</v>
      </c>
      <c r="I227" s="2">
        <v>4</v>
      </c>
      <c r="J227" s="2">
        <v>878</v>
      </c>
      <c r="K227" s="2">
        <v>10</v>
      </c>
      <c r="L227" s="1" t="s">
        <v>299</v>
      </c>
      <c r="M227" s="1" t="s">
        <v>94</v>
      </c>
      <c r="N227" s="1" t="s">
        <v>25</v>
      </c>
      <c r="O227" s="1" t="s">
        <v>45</v>
      </c>
      <c r="P227" s="7"/>
    </row>
    <row r="228" spans="1:16" x14ac:dyDescent="0.3">
      <c r="A228" s="5">
        <v>10223</v>
      </c>
      <c r="B228" s="1" t="s">
        <v>510</v>
      </c>
      <c r="C228" s="1" t="s">
        <v>426</v>
      </c>
      <c r="D228" s="1" t="s">
        <v>511</v>
      </c>
      <c r="E228" s="1" t="s">
        <v>97</v>
      </c>
      <c r="F228" s="1" t="s">
        <v>98</v>
      </c>
      <c r="G228" s="1" t="s">
        <v>161</v>
      </c>
      <c r="H228" s="1" t="s">
        <v>83</v>
      </c>
      <c r="I228" s="2">
        <v>3</v>
      </c>
      <c r="J228" s="2">
        <v>27196</v>
      </c>
      <c r="K228" s="2">
        <v>10</v>
      </c>
      <c r="L228" s="1" t="s">
        <v>227</v>
      </c>
      <c r="M228" s="1" t="s">
        <v>94</v>
      </c>
      <c r="N228" s="1" t="s">
        <v>70</v>
      </c>
      <c r="O228" s="1" t="s">
        <v>174</v>
      </c>
      <c r="P228" s="7">
        <v>2</v>
      </c>
    </row>
    <row r="229" spans="1:16" x14ac:dyDescent="0.3">
      <c r="A229" s="5">
        <v>10224</v>
      </c>
      <c r="B229" s="1" t="s">
        <v>255</v>
      </c>
      <c r="C229" s="1" t="s">
        <v>256</v>
      </c>
      <c r="D229" s="1" t="s">
        <v>257</v>
      </c>
      <c r="E229" s="1" t="s">
        <v>258</v>
      </c>
      <c r="F229" s="1" t="s">
        <v>259</v>
      </c>
      <c r="G229" s="1" t="s">
        <v>260</v>
      </c>
      <c r="H229" s="1" t="s">
        <v>22</v>
      </c>
      <c r="I229" s="2">
        <v>2</v>
      </c>
      <c r="J229" s="2">
        <v>1095</v>
      </c>
      <c r="K229" s="2">
        <v>15</v>
      </c>
      <c r="L229" s="1" t="s">
        <v>261</v>
      </c>
      <c r="M229" s="1" t="s">
        <v>78</v>
      </c>
      <c r="N229" s="1" t="s">
        <v>25</v>
      </c>
      <c r="O229" s="1" t="s">
        <v>174</v>
      </c>
      <c r="P229" s="7">
        <v>1</v>
      </c>
    </row>
    <row r="230" spans="1:16" x14ac:dyDescent="0.3">
      <c r="A230" s="5">
        <v>10225</v>
      </c>
      <c r="B230" s="1" t="s">
        <v>495</v>
      </c>
      <c r="C230" s="1" t="s">
        <v>496</v>
      </c>
      <c r="D230" s="1" t="s">
        <v>497</v>
      </c>
      <c r="E230" s="1" t="s">
        <v>428</v>
      </c>
      <c r="F230" s="1" t="s">
        <v>429</v>
      </c>
      <c r="G230" s="1" t="s">
        <v>106</v>
      </c>
      <c r="H230" s="1" t="s">
        <v>83</v>
      </c>
      <c r="I230" s="2">
        <v>2</v>
      </c>
      <c r="J230" s="2">
        <v>13633</v>
      </c>
      <c r="K230" s="2">
        <v>5</v>
      </c>
      <c r="L230" s="1" t="s">
        <v>498</v>
      </c>
      <c r="M230" s="1" t="s">
        <v>94</v>
      </c>
      <c r="N230" s="1" t="s">
        <v>70</v>
      </c>
      <c r="O230" s="1"/>
      <c r="P230" s="7">
        <v>2</v>
      </c>
    </row>
    <row r="231" spans="1:16" x14ac:dyDescent="0.3">
      <c r="A231" s="6">
        <v>10226</v>
      </c>
      <c r="B231" s="3" t="s">
        <v>665</v>
      </c>
      <c r="C231" s="3" t="s">
        <v>485</v>
      </c>
      <c r="D231" s="3" t="s">
        <v>951</v>
      </c>
      <c r="E231" s="3" t="s">
        <v>247</v>
      </c>
      <c r="F231" s="3" t="s">
        <v>776</v>
      </c>
      <c r="G231" s="3" t="s">
        <v>407</v>
      </c>
      <c r="H231" s="3" t="s">
        <v>83</v>
      </c>
      <c r="I231" s="4">
        <v>5</v>
      </c>
      <c r="J231" s="4">
        <v>14028</v>
      </c>
      <c r="K231" s="4">
        <v>5</v>
      </c>
      <c r="L231" s="3" t="s">
        <v>952</v>
      </c>
      <c r="M231" s="3" t="s">
        <v>32</v>
      </c>
      <c r="N231" s="3" t="s">
        <v>33</v>
      </c>
      <c r="O231" s="3" t="s">
        <v>53</v>
      </c>
      <c r="P231" s="8">
        <v>3</v>
      </c>
    </row>
    <row r="232" spans="1:16" x14ac:dyDescent="0.3">
      <c r="A232" s="6">
        <v>10227</v>
      </c>
      <c r="B232" s="3" t="s">
        <v>1346</v>
      </c>
      <c r="C232" s="3" t="s">
        <v>556</v>
      </c>
      <c r="D232" s="3" t="s">
        <v>1347</v>
      </c>
      <c r="E232" s="3" t="s">
        <v>241</v>
      </c>
      <c r="F232" s="3" t="s">
        <v>362</v>
      </c>
      <c r="G232" s="3" t="s">
        <v>106</v>
      </c>
      <c r="H232" s="3" t="s">
        <v>83</v>
      </c>
      <c r="I232" s="4">
        <v>5</v>
      </c>
      <c r="J232" s="4">
        <v>8998</v>
      </c>
      <c r="K232" s="4">
        <v>15</v>
      </c>
      <c r="L232" s="3" t="s">
        <v>1348</v>
      </c>
      <c r="M232" s="3" t="s">
        <v>145</v>
      </c>
      <c r="N232" s="3" t="s">
        <v>25</v>
      </c>
      <c r="O232" s="3" t="s">
        <v>71</v>
      </c>
      <c r="P232" s="8">
        <v>4</v>
      </c>
    </row>
    <row r="233" spans="1:16" x14ac:dyDescent="0.3">
      <c r="A233" s="6">
        <v>10228</v>
      </c>
      <c r="B233" s="3" t="s">
        <v>609</v>
      </c>
      <c r="C233" s="3" t="s">
        <v>610</v>
      </c>
      <c r="D233" s="3" t="s">
        <v>1517</v>
      </c>
      <c r="E233" s="3" t="s">
        <v>1318</v>
      </c>
      <c r="F233" s="3" t="s">
        <v>220</v>
      </c>
      <c r="G233" s="3" t="s">
        <v>958</v>
      </c>
      <c r="H233" s="3" t="s">
        <v>83</v>
      </c>
      <c r="I233" s="4">
        <v>1</v>
      </c>
      <c r="J233" s="4">
        <v>15519</v>
      </c>
      <c r="K233" s="4"/>
      <c r="L233" s="3" t="s">
        <v>185</v>
      </c>
      <c r="M233" s="3" t="s">
        <v>78</v>
      </c>
      <c r="N233" s="3" t="s">
        <v>25</v>
      </c>
      <c r="O233" s="3" t="s">
        <v>45</v>
      </c>
      <c r="P233" s="8">
        <v>4</v>
      </c>
    </row>
    <row r="234" spans="1:16" x14ac:dyDescent="0.3">
      <c r="A234" s="5">
        <v>10229</v>
      </c>
      <c r="B234" s="1" t="s">
        <v>1083</v>
      </c>
      <c r="C234" s="1" t="s">
        <v>1084</v>
      </c>
      <c r="D234" s="1" t="s">
        <v>1085</v>
      </c>
      <c r="E234" s="1" t="s">
        <v>428</v>
      </c>
      <c r="F234" s="1" t="s">
        <v>429</v>
      </c>
      <c r="G234" s="1" t="s">
        <v>226</v>
      </c>
      <c r="H234" s="1" t="s">
        <v>22</v>
      </c>
      <c r="I234" s="2">
        <v>4</v>
      </c>
      <c r="J234" s="2">
        <v>636</v>
      </c>
      <c r="K234" s="2">
        <v>5</v>
      </c>
      <c r="L234" s="1" t="s">
        <v>1086</v>
      </c>
      <c r="M234" s="1" t="s">
        <v>94</v>
      </c>
      <c r="N234" s="1" t="s">
        <v>456</v>
      </c>
      <c r="O234" s="1" t="s">
        <v>174</v>
      </c>
      <c r="P234" s="7">
        <v>3</v>
      </c>
    </row>
    <row r="235" spans="1:16" x14ac:dyDescent="0.3">
      <c r="A235" s="5">
        <v>10230</v>
      </c>
      <c r="B235" s="1" t="s">
        <v>1508</v>
      </c>
      <c r="C235" s="1" t="s">
        <v>55</v>
      </c>
      <c r="D235" s="1" t="s">
        <v>1509</v>
      </c>
      <c r="E235" s="1" t="s">
        <v>1510</v>
      </c>
      <c r="F235" s="1" t="s">
        <v>20</v>
      </c>
      <c r="G235" s="1" t="s">
        <v>151</v>
      </c>
      <c r="H235" s="1" t="s">
        <v>143</v>
      </c>
      <c r="I235" s="2">
        <v>5</v>
      </c>
      <c r="J235" s="2">
        <v>498</v>
      </c>
      <c r="K235" s="2">
        <v>10</v>
      </c>
      <c r="L235" s="1" t="s">
        <v>1511</v>
      </c>
      <c r="M235" s="1" t="s">
        <v>69</v>
      </c>
      <c r="N235" s="1" t="s">
        <v>25</v>
      </c>
      <c r="O235" s="1" t="s">
        <v>53</v>
      </c>
      <c r="P235" s="7"/>
    </row>
    <row r="236" spans="1:16" x14ac:dyDescent="0.3">
      <c r="A236" s="5">
        <v>10231</v>
      </c>
      <c r="B236" s="1" t="s">
        <v>625</v>
      </c>
      <c r="C236" s="1" t="s">
        <v>207</v>
      </c>
      <c r="D236" s="1" t="s">
        <v>1339</v>
      </c>
      <c r="E236" s="1" t="s">
        <v>343</v>
      </c>
      <c r="F236" s="1" t="s">
        <v>362</v>
      </c>
      <c r="G236" s="1" t="s">
        <v>155</v>
      </c>
      <c r="H236" s="1" t="s">
        <v>92</v>
      </c>
      <c r="I236" s="2">
        <v>5</v>
      </c>
      <c r="J236" s="2">
        <v>1184</v>
      </c>
      <c r="K236" s="2">
        <v>0</v>
      </c>
      <c r="L236" s="1" t="s">
        <v>1245</v>
      </c>
      <c r="M236" s="1" t="s">
        <v>69</v>
      </c>
      <c r="N236" s="1" t="s">
        <v>25</v>
      </c>
      <c r="O236" s="1" t="s">
        <v>45</v>
      </c>
      <c r="P236" s="7"/>
    </row>
    <row r="237" spans="1:16" x14ac:dyDescent="0.3">
      <c r="A237" s="6">
        <v>10232</v>
      </c>
      <c r="B237" s="3" t="s">
        <v>1572</v>
      </c>
      <c r="C237" s="3" t="s">
        <v>1199</v>
      </c>
      <c r="D237" s="3" t="s">
        <v>1573</v>
      </c>
      <c r="E237" s="3" t="s">
        <v>371</v>
      </c>
      <c r="F237" s="3" t="s">
        <v>98</v>
      </c>
      <c r="G237" s="3" t="s">
        <v>1004</v>
      </c>
      <c r="H237" s="3" t="s">
        <v>41</v>
      </c>
      <c r="I237" s="4">
        <v>3</v>
      </c>
      <c r="J237" s="4">
        <v>206</v>
      </c>
      <c r="K237" s="4">
        <v>5</v>
      </c>
      <c r="L237" s="3" t="s">
        <v>1574</v>
      </c>
      <c r="M237" s="3" t="s">
        <v>78</v>
      </c>
      <c r="N237" s="3" t="s">
        <v>33</v>
      </c>
      <c r="O237" s="3" t="s">
        <v>174</v>
      </c>
      <c r="P237" s="8">
        <v>5</v>
      </c>
    </row>
    <row r="238" spans="1:16" x14ac:dyDescent="0.3">
      <c r="A238" s="5">
        <v>10233</v>
      </c>
      <c r="B238" s="1" t="s">
        <v>936</v>
      </c>
      <c r="C238" s="1" t="s">
        <v>937</v>
      </c>
      <c r="D238" s="1" t="s">
        <v>938</v>
      </c>
      <c r="E238" s="1" t="s">
        <v>140</v>
      </c>
      <c r="F238" s="1" t="s">
        <v>576</v>
      </c>
      <c r="G238" s="1" t="s">
        <v>204</v>
      </c>
      <c r="H238" s="1" t="s">
        <v>143</v>
      </c>
      <c r="I238" s="2">
        <v>1</v>
      </c>
      <c r="J238" s="2">
        <v>215</v>
      </c>
      <c r="K238" s="2"/>
      <c r="L238" s="1" t="s">
        <v>939</v>
      </c>
      <c r="M238" s="1" t="s">
        <v>43</v>
      </c>
      <c r="N238" s="1" t="s">
        <v>33</v>
      </c>
      <c r="O238" s="1"/>
      <c r="P238" s="7">
        <v>3</v>
      </c>
    </row>
    <row r="239" spans="1:16" x14ac:dyDescent="0.3">
      <c r="A239" s="6">
        <v>10234</v>
      </c>
      <c r="B239" s="3" t="s">
        <v>756</v>
      </c>
      <c r="C239" s="3" t="s">
        <v>757</v>
      </c>
      <c r="D239" s="3" t="s">
        <v>758</v>
      </c>
      <c r="E239" s="3" t="s">
        <v>273</v>
      </c>
      <c r="F239" s="3" t="s">
        <v>20</v>
      </c>
      <c r="G239" s="3" t="s">
        <v>231</v>
      </c>
      <c r="H239" s="3" t="s">
        <v>83</v>
      </c>
      <c r="I239" s="4">
        <v>3</v>
      </c>
      <c r="J239" s="4">
        <v>2467</v>
      </c>
      <c r="K239" s="4">
        <v>0</v>
      </c>
      <c r="L239" s="3" t="s">
        <v>759</v>
      </c>
      <c r="M239" s="3" t="s">
        <v>24</v>
      </c>
      <c r="N239" s="3" t="s">
        <v>456</v>
      </c>
      <c r="O239" s="3" t="s">
        <v>71</v>
      </c>
      <c r="P239" s="8"/>
    </row>
    <row r="240" spans="1:16" x14ac:dyDescent="0.3">
      <c r="A240" s="5">
        <v>10235</v>
      </c>
      <c r="B240" s="1" t="s">
        <v>1137</v>
      </c>
      <c r="C240" s="1" t="s">
        <v>1138</v>
      </c>
      <c r="D240" s="1"/>
      <c r="E240" s="1" t="s">
        <v>371</v>
      </c>
      <c r="F240" s="1" t="s">
        <v>417</v>
      </c>
      <c r="G240" s="1" t="s">
        <v>407</v>
      </c>
      <c r="H240" s="1" t="s">
        <v>83</v>
      </c>
      <c r="I240" s="2">
        <v>2</v>
      </c>
      <c r="J240" s="2">
        <v>24058</v>
      </c>
      <c r="K240" s="2">
        <v>20</v>
      </c>
      <c r="L240" s="1" t="s">
        <v>1139</v>
      </c>
      <c r="M240" s="1" t="s">
        <v>69</v>
      </c>
      <c r="N240" s="1" t="s">
        <v>25</v>
      </c>
      <c r="O240" s="1" t="s">
        <v>45</v>
      </c>
      <c r="P240" s="7">
        <v>5</v>
      </c>
    </row>
    <row r="241" spans="1:16" x14ac:dyDescent="0.3">
      <c r="A241" s="5">
        <v>10236</v>
      </c>
      <c r="B241" s="1" t="s">
        <v>1043</v>
      </c>
      <c r="C241" s="1" t="s">
        <v>693</v>
      </c>
      <c r="D241" s="1"/>
      <c r="E241" s="1" t="s">
        <v>343</v>
      </c>
      <c r="F241" s="1" t="s">
        <v>20</v>
      </c>
      <c r="G241" s="1" t="s">
        <v>167</v>
      </c>
      <c r="H241" s="1" t="s">
        <v>143</v>
      </c>
      <c r="I241" s="2">
        <v>2</v>
      </c>
      <c r="J241" s="2">
        <v>179</v>
      </c>
      <c r="K241" s="2">
        <v>10</v>
      </c>
      <c r="L241" s="1" t="s">
        <v>1287</v>
      </c>
      <c r="M241" s="1" t="s">
        <v>78</v>
      </c>
      <c r="N241" s="1" t="s">
        <v>119</v>
      </c>
      <c r="O241" s="1"/>
      <c r="P241" s="7">
        <v>3</v>
      </c>
    </row>
    <row r="242" spans="1:16" x14ac:dyDescent="0.3">
      <c r="A242" s="6">
        <v>10237</v>
      </c>
      <c r="B242" s="3" t="s">
        <v>870</v>
      </c>
      <c r="C242" s="3" t="s">
        <v>871</v>
      </c>
      <c r="D242" s="3" t="s">
        <v>1633</v>
      </c>
      <c r="E242" s="3" t="s">
        <v>258</v>
      </c>
      <c r="F242" s="3" t="s">
        <v>259</v>
      </c>
      <c r="G242" s="3" t="s">
        <v>285</v>
      </c>
      <c r="H242" s="3" t="s">
        <v>92</v>
      </c>
      <c r="I242" s="4">
        <v>3</v>
      </c>
      <c r="J242" s="4">
        <v>695</v>
      </c>
      <c r="K242" s="4"/>
      <c r="L242" s="3" t="s">
        <v>1634</v>
      </c>
      <c r="M242" s="3" t="s">
        <v>78</v>
      </c>
      <c r="N242" s="3" t="s">
        <v>70</v>
      </c>
      <c r="O242" s="3" t="s">
        <v>174</v>
      </c>
      <c r="P242" s="8">
        <v>1</v>
      </c>
    </row>
    <row r="243" spans="1:16" x14ac:dyDescent="0.3">
      <c r="A243" s="5">
        <v>10238</v>
      </c>
      <c r="B243" s="1" t="s">
        <v>295</v>
      </c>
      <c r="C243" s="1" t="s">
        <v>134</v>
      </c>
      <c r="D243" s="1" t="s">
        <v>296</v>
      </c>
      <c r="E243" s="1" t="s">
        <v>297</v>
      </c>
      <c r="F243" s="1" t="s">
        <v>66</v>
      </c>
      <c r="G243" s="1" t="s">
        <v>298</v>
      </c>
      <c r="H243" s="1" t="s">
        <v>22</v>
      </c>
      <c r="I243" s="2">
        <v>3</v>
      </c>
      <c r="J243" s="2">
        <v>1886</v>
      </c>
      <c r="K243" s="2">
        <v>10</v>
      </c>
      <c r="L243" s="1" t="s">
        <v>299</v>
      </c>
      <c r="M243" s="1" t="s">
        <v>78</v>
      </c>
      <c r="N243" s="1" t="s">
        <v>33</v>
      </c>
      <c r="O243" s="1" t="s">
        <v>34</v>
      </c>
      <c r="P243" s="7">
        <v>3</v>
      </c>
    </row>
    <row r="244" spans="1:16" x14ac:dyDescent="0.3">
      <c r="A244" s="5">
        <v>10239</v>
      </c>
      <c r="B244" s="1" t="s">
        <v>940</v>
      </c>
      <c r="C244" s="1" t="s">
        <v>590</v>
      </c>
      <c r="D244" s="1"/>
      <c r="E244" s="1" t="s">
        <v>140</v>
      </c>
      <c r="F244" s="1" t="s">
        <v>259</v>
      </c>
      <c r="G244" s="1" t="s">
        <v>954</v>
      </c>
      <c r="H244" s="1" t="s">
        <v>60</v>
      </c>
      <c r="I244" s="2">
        <v>5</v>
      </c>
      <c r="J244" s="2">
        <v>648</v>
      </c>
      <c r="K244" s="2">
        <v>10</v>
      </c>
      <c r="L244" s="1" t="s">
        <v>1571</v>
      </c>
      <c r="M244" s="1" t="s">
        <v>43</v>
      </c>
      <c r="N244" s="1" t="s">
        <v>70</v>
      </c>
      <c r="O244" s="1" t="s">
        <v>174</v>
      </c>
      <c r="P244" s="7">
        <v>1</v>
      </c>
    </row>
    <row r="245" spans="1:16" x14ac:dyDescent="0.3">
      <c r="A245" s="5">
        <v>10240</v>
      </c>
      <c r="B245" s="1" t="s">
        <v>1164</v>
      </c>
      <c r="C245" s="1" t="s">
        <v>833</v>
      </c>
      <c r="D245" s="1" t="s">
        <v>1165</v>
      </c>
      <c r="E245" s="1" t="s">
        <v>172</v>
      </c>
      <c r="F245" s="1" t="s">
        <v>150</v>
      </c>
      <c r="G245" s="1" t="s">
        <v>1004</v>
      </c>
      <c r="H245" s="1" t="s">
        <v>41</v>
      </c>
      <c r="I245" s="2">
        <v>1</v>
      </c>
      <c r="J245" s="2">
        <v>311</v>
      </c>
      <c r="K245" s="2">
        <v>5</v>
      </c>
      <c r="L245" s="1" t="s">
        <v>1166</v>
      </c>
      <c r="M245" s="1" t="s">
        <v>94</v>
      </c>
      <c r="N245" s="1" t="s">
        <v>70</v>
      </c>
      <c r="O245" s="1"/>
      <c r="P245" s="7"/>
    </row>
    <row r="246" spans="1:16" x14ac:dyDescent="0.3">
      <c r="A246" s="5">
        <v>10241</v>
      </c>
      <c r="B246" s="1" t="s">
        <v>1443</v>
      </c>
      <c r="C246" s="1" t="s">
        <v>188</v>
      </c>
      <c r="D246" s="1"/>
      <c r="E246" s="1" t="s">
        <v>558</v>
      </c>
      <c r="F246" s="1" t="s">
        <v>191</v>
      </c>
      <c r="G246" s="1" t="s">
        <v>474</v>
      </c>
      <c r="H246" s="1" t="s">
        <v>143</v>
      </c>
      <c r="I246" s="2">
        <v>2</v>
      </c>
      <c r="J246" s="2">
        <v>960</v>
      </c>
      <c r="K246" s="2">
        <v>5</v>
      </c>
      <c r="L246" s="1" t="s">
        <v>1444</v>
      </c>
      <c r="M246" s="1" t="s">
        <v>101</v>
      </c>
      <c r="N246" s="1" t="s">
        <v>70</v>
      </c>
      <c r="O246" s="1" t="s">
        <v>34</v>
      </c>
      <c r="P246" s="7"/>
    </row>
    <row r="247" spans="1:16" x14ac:dyDescent="0.3">
      <c r="A247" s="5">
        <v>10242</v>
      </c>
      <c r="B247" s="1" t="s">
        <v>1327</v>
      </c>
      <c r="C247" s="1" t="s">
        <v>1328</v>
      </c>
      <c r="D247" s="1" t="s">
        <v>1329</v>
      </c>
      <c r="E247" s="1" t="s">
        <v>154</v>
      </c>
      <c r="F247" s="1" t="s">
        <v>98</v>
      </c>
      <c r="G247" s="1" t="s">
        <v>179</v>
      </c>
      <c r="H247" s="1" t="s">
        <v>60</v>
      </c>
      <c r="I247" s="2">
        <v>4</v>
      </c>
      <c r="J247" s="2">
        <v>376</v>
      </c>
      <c r="K247" s="2">
        <v>5</v>
      </c>
      <c r="L247" s="1" t="s">
        <v>1330</v>
      </c>
      <c r="M247" s="1" t="s">
        <v>78</v>
      </c>
      <c r="N247" s="1" t="s">
        <v>70</v>
      </c>
      <c r="O247" s="1" t="s">
        <v>34</v>
      </c>
      <c r="P247" s="7">
        <v>5</v>
      </c>
    </row>
    <row r="248" spans="1:16" x14ac:dyDescent="0.3">
      <c r="A248" s="6">
        <v>10243</v>
      </c>
      <c r="B248" s="3" t="s">
        <v>244</v>
      </c>
      <c r="C248" s="3"/>
      <c r="D248" s="3" t="s">
        <v>1065</v>
      </c>
      <c r="E248" s="3" t="s">
        <v>371</v>
      </c>
      <c r="F248" s="3" t="s">
        <v>98</v>
      </c>
      <c r="G248" s="3" t="s">
        <v>21</v>
      </c>
      <c r="H248" s="3" t="s">
        <v>22</v>
      </c>
      <c r="I248" s="4">
        <v>1</v>
      </c>
      <c r="J248" s="4">
        <v>1205</v>
      </c>
      <c r="K248" s="4">
        <v>15</v>
      </c>
      <c r="L248" s="3" t="s">
        <v>1066</v>
      </c>
      <c r="M248" s="3" t="s">
        <v>101</v>
      </c>
      <c r="N248" s="3" t="s">
        <v>25</v>
      </c>
      <c r="O248" s="3" t="s">
        <v>71</v>
      </c>
      <c r="P248" s="8">
        <v>1</v>
      </c>
    </row>
    <row r="249" spans="1:16" x14ac:dyDescent="0.3">
      <c r="A249" s="6">
        <v>10244</v>
      </c>
      <c r="B249" s="3" t="s">
        <v>524</v>
      </c>
      <c r="C249" s="3" t="s">
        <v>525</v>
      </c>
      <c r="D249" s="3"/>
      <c r="E249" s="3" t="s">
        <v>343</v>
      </c>
      <c r="F249" s="3" t="s">
        <v>20</v>
      </c>
      <c r="G249" s="3" t="s">
        <v>368</v>
      </c>
      <c r="H249" s="3" t="s">
        <v>22</v>
      </c>
      <c r="I249" s="4">
        <v>1</v>
      </c>
      <c r="J249" s="4">
        <v>2027</v>
      </c>
      <c r="K249" s="4"/>
      <c r="L249" s="3" t="s">
        <v>526</v>
      </c>
      <c r="M249" s="3" t="s">
        <v>78</v>
      </c>
      <c r="N249" s="3" t="s">
        <v>70</v>
      </c>
      <c r="O249" s="3" t="s">
        <v>174</v>
      </c>
      <c r="P249" s="8">
        <v>1</v>
      </c>
    </row>
    <row r="250" spans="1:16" x14ac:dyDescent="0.3">
      <c r="A250" s="6">
        <v>10245</v>
      </c>
      <c r="B250" s="3" t="s">
        <v>26</v>
      </c>
      <c r="C250" s="3" t="s">
        <v>27</v>
      </c>
      <c r="D250" s="3" t="s">
        <v>28</v>
      </c>
      <c r="E250" s="3" t="s">
        <v>29</v>
      </c>
      <c r="F250" s="3" t="s">
        <v>30</v>
      </c>
      <c r="G250" s="3" t="s">
        <v>21</v>
      </c>
      <c r="H250" s="3" t="s">
        <v>22</v>
      </c>
      <c r="I250" s="4">
        <v>4</v>
      </c>
      <c r="J250" s="4">
        <v>1233</v>
      </c>
      <c r="K250" s="4"/>
      <c r="L250" s="3" t="s">
        <v>31</v>
      </c>
      <c r="M250" s="3" t="s">
        <v>32</v>
      </c>
      <c r="N250" s="3" t="s">
        <v>33</v>
      </c>
      <c r="O250" s="3" t="s">
        <v>34</v>
      </c>
      <c r="P250" s="8"/>
    </row>
    <row r="251" spans="1:16" x14ac:dyDescent="0.3">
      <c r="A251" s="6">
        <v>10246</v>
      </c>
      <c r="B251" s="3" t="s">
        <v>658</v>
      </c>
      <c r="C251" s="3" t="s">
        <v>1310</v>
      </c>
      <c r="D251" s="3"/>
      <c r="E251" s="3" t="s">
        <v>57</v>
      </c>
      <c r="F251" s="3" t="s">
        <v>20</v>
      </c>
      <c r="G251" s="3" t="s">
        <v>231</v>
      </c>
      <c r="H251" s="3" t="s">
        <v>83</v>
      </c>
      <c r="I251" s="4">
        <v>4</v>
      </c>
      <c r="J251" s="4">
        <v>1835</v>
      </c>
      <c r="K251" s="4">
        <v>5</v>
      </c>
      <c r="L251" s="3" t="s">
        <v>1234</v>
      </c>
      <c r="M251" s="3" t="s">
        <v>43</v>
      </c>
      <c r="N251" s="3" t="s">
        <v>25</v>
      </c>
      <c r="O251" s="3" t="s">
        <v>34</v>
      </c>
      <c r="P251" s="8">
        <v>2</v>
      </c>
    </row>
    <row r="252" spans="1:16" x14ac:dyDescent="0.3">
      <c r="A252" s="6">
        <v>10247</v>
      </c>
      <c r="B252" s="3" t="s">
        <v>1046</v>
      </c>
      <c r="C252" s="3" t="s">
        <v>1047</v>
      </c>
      <c r="D252" s="3" t="s">
        <v>1048</v>
      </c>
      <c r="E252" s="3" t="s">
        <v>1049</v>
      </c>
      <c r="F252" s="3" t="s">
        <v>50</v>
      </c>
      <c r="G252" s="3" t="s">
        <v>411</v>
      </c>
      <c r="H252" s="3" t="s">
        <v>83</v>
      </c>
      <c r="I252" s="4">
        <v>5</v>
      </c>
      <c r="J252" s="4">
        <v>61061</v>
      </c>
      <c r="K252" s="4"/>
      <c r="L252" s="3" t="s">
        <v>1050</v>
      </c>
      <c r="M252" s="3" t="s">
        <v>94</v>
      </c>
      <c r="N252" s="3" t="s">
        <v>25</v>
      </c>
      <c r="O252" s="3" t="s">
        <v>71</v>
      </c>
      <c r="P252" s="8">
        <v>5</v>
      </c>
    </row>
    <row r="253" spans="1:16" x14ac:dyDescent="0.3">
      <c r="A253" s="6">
        <v>10248</v>
      </c>
      <c r="B253" s="3" t="s">
        <v>267</v>
      </c>
      <c r="C253" s="3" t="s">
        <v>87</v>
      </c>
      <c r="D253" s="3" t="s">
        <v>370</v>
      </c>
      <c r="E253" s="3" t="s">
        <v>371</v>
      </c>
      <c r="F253" s="3" t="s">
        <v>98</v>
      </c>
      <c r="G253" s="3" t="s">
        <v>179</v>
      </c>
      <c r="H253" s="3" t="s">
        <v>60</v>
      </c>
      <c r="I253" s="4">
        <v>2</v>
      </c>
      <c r="J253" s="4">
        <v>250</v>
      </c>
      <c r="K253" s="4"/>
      <c r="L253" s="3" t="s">
        <v>372</v>
      </c>
      <c r="M253" s="3" t="s">
        <v>157</v>
      </c>
      <c r="N253" s="3" t="s">
        <v>25</v>
      </c>
      <c r="O253" s="3"/>
      <c r="P253" s="8">
        <v>5</v>
      </c>
    </row>
    <row r="254" spans="1:16" x14ac:dyDescent="0.3">
      <c r="A254" s="6">
        <v>10249</v>
      </c>
      <c r="B254" s="3" t="s">
        <v>686</v>
      </c>
      <c r="C254" s="3" t="s">
        <v>687</v>
      </c>
      <c r="D254" s="3" t="s">
        <v>688</v>
      </c>
      <c r="E254" s="3" t="s">
        <v>253</v>
      </c>
      <c r="F254" s="3" t="s">
        <v>20</v>
      </c>
      <c r="G254" s="3" t="s">
        <v>198</v>
      </c>
      <c r="H254" s="3" t="s">
        <v>41</v>
      </c>
      <c r="I254" s="4">
        <v>1</v>
      </c>
      <c r="J254" s="4">
        <v>202</v>
      </c>
      <c r="K254" s="4">
        <v>0</v>
      </c>
      <c r="L254" s="3" t="s">
        <v>689</v>
      </c>
      <c r="M254" s="3" t="s">
        <v>94</v>
      </c>
      <c r="N254" s="3" t="s">
        <v>25</v>
      </c>
      <c r="O254" s="3" t="s">
        <v>34</v>
      </c>
      <c r="P254" s="8"/>
    </row>
    <row r="255" spans="1:16" x14ac:dyDescent="0.3">
      <c r="A255" s="5">
        <v>10249</v>
      </c>
      <c r="B255" s="1" t="s">
        <v>686</v>
      </c>
      <c r="C255" s="1" t="s">
        <v>687</v>
      </c>
      <c r="D255" s="1" t="s">
        <v>688</v>
      </c>
      <c r="E255" s="1" t="s">
        <v>253</v>
      </c>
      <c r="F255" s="1" t="s">
        <v>20</v>
      </c>
      <c r="G255" s="1" t="s">
        <v>198</v>
      </c>
      <c r="H255" s="1" t="s">
        <v>41</v>
      </c>
      <c r="I255" s="2">
        <v>1</v>
      </c>
      <c r="J255" s="2">
        <v>202</v>
      </c>
      <c r="K255" s="2">
        <v>0</v>
      </c>
      <c r="L255" s="1" t="s">
        <v>689</v>
      </c>
      <c r="M255" s="1" t="s">
        <v>94</v>
      </c>
      <c r="N255" s="1" t="s">
        <v>25</v>
      </c>
      <c r="O255" s="1" t="s">
        <v>34</v>
      </c>
      <c r="P255" s="7"/>
    </row>
    <row r="256" spans="1:16" x14ac:dyDescent="0.3">
      <c r="A256" s="5">
        <v>10250</v>
      </c>
      <c r="B256" s="1" t="s">
        <v>262</v>
      </c>
      <c r="C256" s="1" t="s">
        <v>263</v>
      </c>
      <c r="D256" s="1"/>
      <c r="E256" s="1" t="s">
        <v>572</v>
      </c>
      <c r="F256" s="1" t="s">
        <v>20</v>
      </c>
      <c r="G256" s="1" t="s">
        <v>161</v>
      </c>
      <c r="H256" s="1" t="s">
        <v>83</v>
      </c>
      <c r="I256" s="2">
        <v>5</v>
      </c>
      <c r="J256" s="2">
        <v>16603</v>
      </c>
      <c r="K256" s="2">
        <v>10</v>
      </c>
      <c r="L256" s="1" t="s">
        <v>573</v>
      </c>
      <c r="M256" s="1" t="s">
        <v>78</v>
      </c>
      <c r="N256" s="1" t="s">
        <v>33</v>
      </c>
      <c r="O256" s="1" t="s">
        <v>174</v>
      </c>
      <c r="P256" s="7"/>
    </row>
    <row r="257" spans="1:16" x14ac:dyDescent="0.3">
      <c r="A257" s="6">
        <v>10251</v>
      </c>
      <c r="B257" s="3" t="s">
        <v>1149</v>
      </c>
      <c r="C257" s="3" t="s">
        <v>1150</v>
      </c>
      <c r="D257" s="3" t="s">
        <v>1151</v>
      </c>
      <c r="E257" s="3" t="s">
        <v>219</v>
      </c>
      <c r="F257" s="3" t="s">
        <v>220</v>
      </c>
      <c r="G257" s="3" t="s">
        <v>167</v>
      </c>
      <c r="H257" s="3" t="s">
        <v>143</v>
      </c>
      <c r="I257" s="4">
        <v>1</v>
      </c>
      <c r="J257" s="4">
        <v>572</v>
      </c>
      <c r="K257" s="4">
        <v>10</v>
      </c>
      <c r="L257" s="3" t="s">
        <v>1152</v>
      </c>
      <c r="M257" s="3" t="s">
        <v>94</v>
      </c>
      <c r="N257" s="3" t="s">
        <v>25</v>
      </c>
      <c r="O257" s="3" t="s">
        <v>71</v>
      </c>
      <c r="P257" s="8">
        <v>3</v>
      </c>
    </row>
    <row r="258" spans="1:16" x14ac:dyDescent="0.3">
      <c r="A258" s="5">
        <v>10252</v>
      </c>
      <c r="B258" s="1" t="s">
        <v>631</v>
      </c>
      <c r="C258" s="1" t="s">
        <v>632</v>
      </c>
      <c r="D258" s="1" t="s">
        <v>992</v>
      </c>
      <c r="E258" s="1" t="s">
        <v>38</v>
      </c>
      <c r="F258" s="1" t="s">
        <v>453</v>
      </c>
      <c r="G258" s="1" t="s">
        <v>322</v>
      </c>
      <c r="H258" s="1" t="s">
        <v>83</v>
      </c>
      <c r="I258" s="2">
        <v>5</v>
      </c>
      <c r="J258" s="2">
        <v>3184</v>
      </c>
      <c r="K258" s="2">
        <v>0</v>
      </c>
      <c r="L258" s="1" t="s">
        <v>993</v>
      </c>
      <c r="M258" s="1" t="s">
        <v>186</v>
      </c>
      <c r="N258" s="1" t="s">
        <v>25</v>
      </c>
      <c r="O258" s="1"/>
      <c r="P258" s="7"/>
    </row>
    <row r="259" spans="1:16" x14ac:dyDescent="0.3">
      <c r="A259" s="6">
        <v>10253</v>
      </c>
      <c r="B259" s="3" t="s">
        <v>888</v>
      </c>
      <c r="C259" s="3" t="s">
        <v>610</v>
      </c>
      <c r="D259" s="3"/>
      <c r="E259" s="3" t="s">
        <v>269</v>
      </c>
      <c r="F259" s="3" t="s">
        <v>214</v>
      </c>
      <c r="G259" s="3" t="s">
        <v>231</v>
      </c>
      <c r="H259" s="3" t="s">
        <v>83</v>
      </c>
      <c r="I259" s="4">
        <v>4</v>
      </c>
      <c r="J259" s="4">
        <v>3269</v>
      </c>
      <c r="K259" s="4"/>
      <c r="L259" s="3" t="s">
        <v>889</v>
      </c>
      <c r="M259" s="3" t="s">
        <v>94</v>
      </c>
      <c r="N259" s="3" t="s">
        <v>25</v>
      </c>
      <c r="O259" s="3" t="s">
        <v>174</v>
      </c>
      <c r="P259" s="8"/>
    </row>
    <row r="260" spans="1:16" x14ac:dyDescent="0.3">
      <c r="A260" s="5">
        <v>10254</v>
      </c>
      <c r="B260" s="1" t="s">
        <v>911</v>
      </c>
      <c r="C260" s="1" t="s">
        <v>1499</v>
      </c>
      <c r="D260" s="1" t="s">
        <v>1500</v>
      </c>
      <c r="E260" s="1" t="s">
        <v>184</v>
      </c>
      <c r="F260" s="1" t="s">
        <v>75</v>
      </c>
      <c r="G260" s="1" t="s">
        <v>151</v>
      </c>
      <c r="H260" s="1" t="s">
        <v>143</v>
      </c>
      <c r="I260" s="2">
        <v>4</v>
      </c>
      <c r="J260" s="2">
        <v>410</v>
      </c>
      <c r="K260" s="2">
        <v>20</v>
      </c>
      <c r="L260" s="1" t="s">
        <v>1501</v>
      </c>
      <c r="M260" s="1" t="s">
        <v>94</v>
      </c>
      <c r="N260" s="1" t="s">
        <v>70</v>
      </c>
      <c r="O260" s="1" t="s">
        <v>53</v>
      </c>
      <c r="P260" s="7">
        <v>5</v>
      </c>
    </row>
    <row r="261" spans="1:16" x14ac:dyDescent="0.3">
      <c r="A261" s="6">
        <v>10255</v>
      </c>
      <c r="B261" s="3" t="s">
        <v>1128</v>
      </c>
      <c r="C261" s="3" t="s">
        <v>1090</v>
      </c>
      <c r="D261" s="3" t="s">
        <v>1129</v>
      </c>
      <c r="E261" s="3" t="s">
        <v>273</v>
      </c>
      <c r="F261" s="3" t="s">
        <v>50</v>
      </c>
      <c r="G261" s="3" t="s">
        <v>303</v>
      </c>
      <c r="H261" s="3" t="s">
        <v>60</v>
      </c>
      <c r="I261" s="4">
        <v>4</v>
      </c>
      <c r="J261" s="4">
        <v>315</v>
      </c>
      <c r="K261" s="4">
        <v>10</v>
      </c>
      <c r="L261" s="3" t="s">
        <v>813</v>
      </c>
      <c r="M261" s="3" t="s">
        <v>126</v>
      </c>
      <c r="N261" s="3" t="s">
        <v>456</v>
      </c>
      <c r="O261" s="3" t="s">
        <v>71</v>
      </c>
      <c r="P261" s="8"/>
    </row>
    <row r="262" spans="1:16" x14ac:dyDescent="0.3">
      <c r="A262" s="5">
        <v>10256</v>
      </c>
      <c r="B262" s="1" t="s">
        <v>1532</v>
      </c>
      <c r="C262" s="1" t="s">
        <v>405</v>
      </c>
      <c r="D262" s="1" t="s">
        <v>1533</v>
      </c>
      <c r="E262" s="1" t="s">
        <v>172</v>
      </c>
      <c r="F262" s="1" t="s">
        <v>150</v>
      </c>
      <c r="G262" s="1" t="s">
        <v>860</v>
      </c>
      <c r="H262" s="1" t="s">
        <v>83</v>
      </c>
      <c r="I262" s="2">
        <v>5</v>
      </c>
      <c r="J262" s="2">
        <v>19844</v>
      </c>
      <c r="K262" s="2"/>
      <c r="L262" s="1" t="s">
        <v>1534</v>
      </c>
      <c r="M262" s="1" t="s">
        <v>78</v>
      </c>
      <c r="N262" s="1" t="s">
        <v>33</v>
      </c>
      <c r="O262" s="1" t="s">
        <v>174</v>
      </c>
      <c r="P262" s="7">
        <v>3</v>
      </c>
    </row>
    <row r="263" spans="1:16" x14ac:dyDescent="0.3">
      <c r="A263" s="5">
        <v>10257</v>
      </c>
      <c r="B263" s="1" t="s">
        <v>1368</v>
      </c>
      <c r="C263" s="1" t="s">
        <v>448</v>
      </c>
      <c r="D263" s="1" t="s">
        <v>1369</v>
      </c>
      <c r="E263" s="1" t="s">
        <v>197</v>
      </c>
      <c r="F263" s="1" t="s">
        <v>214</v>
      </c>
      <c r="G263" s="1" t="s">
        <v>411</v>
      </c>
      <c r="H263" s="1" t="s">
        <v>83</v>
      </c>
      <c r="I263" s="2">
        <v>4</v>
      </c>
      <c r="J263" s="2">
        <v>62914</v>
      </c>
      <c r="K263" s="2">
        <v>5</v>
      </c>
      <c r="L263" s="1" t="s">
        <v>1370</v>
      </c>
      <c r="M263" s="1" t="s">
        <v>43</v>
      </c>
      <c r="N263" s="1" t="s">
        <v>25</v>
      </c>
      <c r="O263" s="1" t="s">
        <v>71</v>
      </c>
      <c r="P263" s="7">
        <v>1</v>
      </c>
    </row>
    <row r="264" spans="1:16" x14ac:dyDescent="0.3">
      <c r="A264" s="5">
        <v>10258</v>
      </c>
      <c r="B264" s="1" t="s">
        <v>223</v>
      </c>
      <c r="C264" s="1" t="s">
        <v>224</v>
      </c>
      <c r="D264" s="1" t="s">
        <v>225</v>
      </c>
      <c r="E264" s="1" t="s">
        <v>172</v>
      </c>
      <c r="F264" s="1" t="s">
        <v>66</v>
      </c>
      <c r="G264" s="1" t="s">
        <v>226</v>
      </c>
      <c r="H264" s="1" t="s">
        <v>22</v>
      </c>
      <c r="I264" s="2">
        <v>4</v>
      </c>
      <c r="J264" s="2">
        <v>823</v>
      </c>
      <c r="K264" s="2">
        <v>10</v>
      </c>
      <c r="L264" s="1" t="s">
        <v>227</v>
      </c>
      <c r="M264" s="1" t="s">
        <v>78</v>
      </c>
      <c r="N264" s="1" t="s">
        <v>119</v>
      </c>
      <c r="O264" s="1" t="s">
        <v>174</v>
      </c>
      <c r="P264" s="7">
        <v>5</v>
      </c>
    </row>
    <row r="265" spans="1:16" x14ac:dyDescent="0.3">
      <c r="A265" s="6">
        <v>10259</v>
      </c>
      <c r="B265" s="3" t="s">
        <v>763</v>
      </c>
      <c r="C265" s="3" t="s">
        <v>182</v>
      </c>
      <c r="D265" s="3" t="s">
        <v>1566</v>
      </c>
      <c r="E265" s="3" t="s">
        <v>219</v>
      </c>
      <c r="F265" s="3" t="s">
        <v>150</v>
      </c>
      <c r="G265" s="3" t="s">
        <v>1567</v>
      </c>
      <c r="H265" s="3" t="s">
        <v>22</v>
      </c>
      <c r="I265" s="4">
        <v>4</v>
      </c>
      <c r="J265" s="4">
        <v>836</v>
      </c>
      <c r="K265" s="4">
        <v>15</v>
      </c>
      <c r="L265" s="3" t="s">
        <v>1568</v>
      </c>
      <c r="M265" s="3" t="s">
        <v>43</v>
      </c>
      <c r="N265" s="3" t="s">
        <v>25</v>
      </c>
      <c r="O265" s="3" t="s">
        <v>53</v>
      </c>
      <c r="P265" s="8"/>
    </row>
    <row r="266" spans="1:16" x14ac:dyDescent="0.3">
      <c r="A266" s="5">
        <v>10260</v>
      </c>
      <c r="B266" s="1" t="s">
        <v>26</v>
      </c>
      <c r="C266" s="1" t="s">
        <v>27</v>
      </c>
      <c r="D266" s="1" t="s">
        <v>1596</v>
      </c>
      <c r="E266" s="1" t="s">
        <v>57</v>
      </c>
      <c r="F266" s="1" t="s">
        <v>58</v>
      </c>
      <c r="G266" s="1" t="s">
        <v>91</v>
      </c>
      <c r="H266" s="1" t="s">
        <v>92</v>
      </c>
      <c r="I266" s="2">
        <v>3</v>
      </c>
      <c r="J266" s="2">
        <v>1972</v>
      </c>
      <c r="K266" s="2">
        <v>0</v>
      </c>
      <c r="L266" s="1" t="s">
        <v>1597</v>
      </c>
      <c r="M266" s="1" t="s">
        <v>24</v>
      </c>
      <c r="N266" s="1" t="s">
        <v>70</v>
      </c>
      <c r="O266" s="1" t="s">
        <v>45</v>
      </c>
      <c r="P266" s="7">
        <v>3</v>
      </c>
    </row>
    <row r="267" spans="1:16" x14ac:dyDescent="0.3">
      <c r="A267" s="6">
        <v>10261</v>
      </c>
      <c r="B267" s="3" t="s">
        <v>1264</v>
      </c>
      <c r="C267" s="3" t="s">
        <v>629</v>
      </c>
      <c r="D267" s="3" t="s">
        <v>1265</v>
      </c>
      <c r="E267" s="3" t="s">
        <v>184</v>
      </c>
      <c r="F267" s="3" t="s">
        <v>75</v>
      </c>
      <c r="G267" s="3" t="s">
        <v>99</v>
      </c>
      <c r="H267" s="3" t="s">
        <v>92</v>
      </c>
      <c r="I267" s="4">
        <v>1</v>
      </c>
      <c r="J267" s="4">
        <v>1666</v>
      </c>
      <c r="K267" s="4">
        <v>5</v>
      </c>
      <c r="L267" s="3" t="s">
        <v>1266</v>
      </c>
      <c r="M267" s="3" t="s">
        <v>24</v>
      </c>
      <c r="N267" s="3" t="s">
        <v>33</v>
      </c>
      <c r="O267" s="3" t="s">
        <v>45</v>
      </c>
      <c r="P267" s="8">
        <v>5</v>
      </c>
    </row>
    <row r="268" spans="1:16" x14ac:dyDescent="0.3">
      <c r="A268" s="6">
        <v>10262</v>
      </c>
      <c r="B268" s="3" t="s">
        <v>1072</v>
      </c>
      <c r="C268" s="3" t="s">
        <v>506</v>
      </c>
      <c r="D268" s="3" t="s">
        <v>1325</v>
      </c>
      <c r="E268" s="3" t="s">
        <v>343</v>
      </c>
      <c r="F268" s="3" t="s">
        <v>50</v>
      </c>
      <c r="G268" s="3" t="s">
        <v>1159</v>
      </c>
      <c r="H268" s="3" t="s">
        <v>83</v>
      </c>
      <c r="I268" s="4">
        <v>2</v>
      </c>
      <c r="J268" s="4">
        <v>12845</v>
      </c>
      <c r="K268" s="4">
        <v>5</v>
      </c>
      <c r="L268" s="3" t="s">
        <v>1326</v>
      </c>
      <c r="M268" s="3" t="s">
        <v>69</v>
      </c>
      <c r="N268" s="3" t="s">
        <v>70</v>
      </c>
      <c r="O268" s="3" t="s">
        <v>71</v>
      </c>
      <c r="P268" s="8">
        <v>2</v>
      </c>
    </row>
    <row r="269" spans="1:16" x14ac:dyDescent="0.3">
      <c r="A269" s="5">
        <v>10263</v>
      </c>
      <c r="B269" s="1" t="s">
        <v>1545</v>
      </c>
      <c r="C269" s="1"/>
      <c r="D269" s="1" t="s">
        <v>1546</v>
      </c>
      <c r="E269" s="1" t="s">
        <v>247</v>
      </c>
      <c r="F269" s="1" t="s">
        <v>259</v>
      </c>
      <c r="G269" s="1" t="s">
        <v>322</v>
      </c>
      <c r="H269" s="1" t="s">
        <v>83</v>
      </c>
      <c r="I269" s="2">
        <v>3</v>
      </c>
      <c r="J269" s="2">
        <v>2576</v>
      </c>
      <c r="K269" s="2">
        <v>15</v>
      </c>
      <c r="L269" s="1" t="s">
        <v>168</v>
      </c>
      <c r="M269" s="1" t="s">
        <v>78</v>
      </c>
      <c r="N269" s="1" t="s">
        <v>108</v>
      </c>
      <c r="O269" s="1" t="s">
        <v>34</v>
      </c>
      <c r="P269" s="7"/>
    </row>
    <row r="270" spans="1:16" x14ac:dyDescent="0.3">
      <c r="A270" s="5">
        <v>10264</v>
      </c>
      <c r="B270" s="1" t="s">
        <v>712</v>
      </c>
      <c r="C270" s="1" t="s">
        <v>713</v>
      </c>
      <c r="D270" s="1" t="s">
        <v>714</v>
      </c>
      <c r="E270" s="1" t="s">
        <v>74</v>
      </c>
      <c r="F270" s="1" t="s">
        <v>105</v>
      </c>
      <c r="G270" s="1" t="s">
        <v>533</v>
      </c>
      <c r="H270" s="1" t="s">
        <v>22</v>
      </c>
      <c r="I270" s="2">
        <v>4</v>
      </c>
      <c r="J270" s="2">
        <v>899</v>
      </c>
      <c r="K270" s="2">
        <v>15</v>
      </c>
      <c r="L270" s="1" t="s">
        <v>715</v>
      </c>
      <c r="M270" s="1" t="s">
        <v>24</v>
      </c>
      <c r="N270" s="1" t="s">
        <v>25</v>
      </c>
      <c r="O270" s="1" t="s">
        <v>174</v>
      </c>
      <c r="P270" s="7">
        <v>4</v>
      </c>
    </row>
    <row r="271" spans="1:16" x14ac:dyDescent="0.3">
      <c r="A271" s="5">
        <v>10265</v>
      </c>
      <c r="B271" s="1" t="s">
        <v>1204</v>
      </c>
      <c r="C271" s="1" t="s">
        <v>907</v>
      </c>
      <c r="D271" s="1" t="s">
        <v>1205</v>
      </c>
      <c r="E271" s="1" t="s">
        <v>543</v>
      </c>
      <c r="F271" s="1" t="s">
        <v>429</v>
      </c>
      <c r="G271" s="1" t="s">
        <v>303</v>
      </c>
      <c r="H271" s="1" t="s">
        <v>60</v>
      </c>
      <c r="I271" s="2">
        <v>1</v>
      </c>
      <c r="J271" s="2">
        <v>732</v>
      </c>
      <c r="K271" s="2">
        <v>20</v>
      </c>
      <c r="L271" s="1" t="s">
        <v>1206</v>
      </c>
      <c r="M271" s="1" t="s">
        <v>94</v>
      </c>
      <c r="N271" s="1" t="s">
        <v>25</v>
      </c>
      <c r="O271" s="1" t="s">
        <v>53</v>
      </c>
      <c r="P271" s="7">
        <v>4</v>
      </c>
    </row>
    <row r="272" spans="1:16" x14ac:dyDescent="0.3">
      <c r="A272" s="6">
        <v>10266</v>
      </c>
      <c r="B272" s="3" t="s">
        <v>736</v>
      </c>
      <c r="C272" s="3" t="s">
        <v>170</v>
      </c>
      <c r="D272" s="3" t="s">
        <v>737</v>
      </c>
      <c r="E272" s="3" t="s">
        <v>738</v>
      </c>
      <c r="F272" s="3" t="s">
        <v>150</v>
      </c>
      <c r="G272" s="3" t="s">
        <v>242</v>
      </c>
      <c r="H272" s="3" t="s">
        <v>83</v>
      </c>
      <c r="I272" s="4">
        <v>4</v>
      </c>
      <c r="J272" s="4">
        <v>16336</v>
      </c>
      <c r="K272" s="4">
        <v>0</v>
      </c>
      <c r="L272" s="3" t="s">
        <v>739</v>
      </c>
      <c r="M272" s="3" t="s">
        <v>43</v>
      </c>
      <c r="N272" s="3" t="s">
        <v>25</v>
      </c>
      <c r="O272" s="3" t="s">
        <v>71</v>
      </c>
      <c r="P272" s="8">
        <v>5</v>
      </c>
    </row>
    <row r="273" spans="1:16" x14ac:dyDescent="0.3">
      <c r="A273" s="6">
        <v>10267</v>
      </c>
      <c r="B273" s="3" t="s">
        <v>712</v>
      </c>
      <c r="C273" s="3"/>
      <c r="D273" s="3" t="s">
        <v>1547</v>
      </c>
      <c r="E273" s="3" t="s">
        <v>38</v>
      </c>
      <c r="F273" s="3" t="s">
        <v>886</v>
      </c>
      <c r="G273" s="3" t="s">
        <v>601</v>
      </c>
      <c r="H273" s="3" t="s">
        <v>22</v>
      </c>
      <c r="I273" s="4">
        <v>4</v>
      </c>
      <c r="J273" s="4">
        <v>857</v>
      </c>
      <c r="K273" s="4">
        <v>20</v>
      </c>
      <c r="L273" s="3" t="s">
        <v>988</v>
      </c>
      <c r="M273" s="3" t="s">
        <v>43</v>
      </c>
      <c r="N273" s="3" t="s">
        <v>70</v>
      </c>
      <c r="O273" s="3" t="s">
        <v>174</v>
      </c>
      <c r="P273" s="8">
        <v>3</v>
      </c>
    </row>
    <row r="274" spans="1:16" x14ac:dyDescent="0.3">
      <c r="A274" s="5">
        <v>10268</v>
      </c>
      <c r="B274" s="1" t="s">
        <v>1372</v>
      </c>
      <c r="C274" s="1" t="s">
        <v>579</v>
      </c>
      <c r="D274" s="1" t="s">
        <v>1373</v>
      </c>
      <c r="E274" s="1" t="s">
        <v>172</v>
      </c>
      <c r="F274" s="1" t="s">
        <v>150</v>
      </c>
      <c r="G274" s="1" t="s">
        <v>204</v>
      </c>
      <c r="H274" s="1" t="s">
        <v>143</v>
      </c>
      <c r="I274" s="2">
        <v>2</v>
      </c>
      <c r="J274" s="2">
        <v>473</v>
      </c>
      <c r="K274" s="2">
        <v>10</v>
      </c>
      <c r="L274" s="1" t="s">
        <v>1374</v>
      </c>
      <c r="M274" s="1" t="s">
        <v>157</v>
      </c>
      <c r="N274" s="1" t="s">
        <v>44</v>
      </c>
      <c r="O274" s="1" t="s">
        <v>53</v>
      </c>
      <c r="P274" s="7">
        <v>5</v>
      </c>
    </row>
    <row r="275" spans="1:16" x14ac:dyDescent="0.3">
      <c r="A275" s="5">
        <v>10269</v>
      </c>
      <c r="B275" s="1" t="s">
        <v>1308</v>
      </c>
      <c r="C275" s="1" t="s">
        <v>170</v>
      </c>
      <c r="D275" s="1" t="s">
        <v>1309</v>
      </c>
      <c r="E275" s="1" t="s">
        <v>197</v>
      </c>
      <c r="F275" s="1" t="s">
        <v>851</v>
      </c>
      <c r="G275" s="1" t="s">
        <v>958</v>
      </c>
      <c r="H275" s="1" t="s">
        <v>83</v>
      </c>
      <c r="I275" s="2">
        <v>2</v>
      </c>
      <c r="J275" s="2">
        <v>21253</v>
      </c>
      <c r="K275" s="2">
        <v>10</v>
      </c>
      <c r="L275" s="1" t="s">
        <v>1120</v>
      </c>
      <c r="M275" s="1" t="s">
        <v>24</v>
      </c>
      <c r="N275" s="1" t="s">
        <v>456</v>
      </c>
      <c r="O275" s="1" t="s">
        <v>34</v>
      </c>
      <c r="P275" s="7">
        <v>5</v>
      </c>
    </row>
    <row r="276" spans="1:16" x14ac:dyDescent="0.3">
      <c r="A276" s="6">
        <v>10270</v>
      </c>
      <c r="B276" s="3" t="s">
        <v>1046</v>
      </c>
      <c r="C276" s="3" t="s">
        <v>1047</v>
      </c>
      <c r="D276" s="3"/>
      <c r="E276" s="3" t="s">
        <v>57</v>
      </c>
      <c r="F276" s="3" t="s">
        <v>50</v>
      </c>
      <c r="G276" s="3" t="s">
        <v>151</v>
      </c>
      <c r="H276" s="3" t="s">
        <v>143</v>
      </c>
      <c r="I276" s="4">
        <v>4</v>
      </c>
      <c r="J276" s="4">
        <v>324</v>
      </c>
      <c r="K276" s="4">
        <v>10</v>
      </c>
      <c r="L276" s="3" t="s">
        <v>1244</v>
      </c>
      <c r="M276" s="3" t="s">
        <v>78</v>
      </c>
      <c r="N276" s="3" t="s">
        <v>70</v>
      </c>
      <c r="O276" s="3" t="s">
        <v>53</v>
      </c>
      <c r="P276" s="8"/>
    </row>
    <row r="277" spans="1:16" x14ac:dyDescent="0.3">
      <c r="A277" s="6">
        <v>10271</v>
      </c>
      <c r="B277" s="3" t="s">
        <v>1059</v>
      </c>
      <c r="C277" s="3" t="s">
        <v>713</v>
      </c>
      <c r="D277" s="3" t="s">
        <v>1060</v>
      </c>
      <c r="E277" s="3" t="s">
        <v>172</v>
      </c>
      <c r="F277" s="3" t="s">
        <v>150</v>
      </c>
      <c r="G277" s="3" t="s">
        <v>221</v>
      </c>
      <c r="H277" s="3" t="s">
        <v>83</v>
      </c>
      <c r="I277" s="4">
        <v>5</v>
      </c>
      <c r="J277" s="4">
        <v>13304</v>
      </c>
      <c r="K277" s="4">
        <v>15</v>
      </c>
      <c r="L277" s="3" t="s">
        <v>1061</v>
      </c>
      <c r="M277" s="3" t="s">
        <v>126</v>
      </c>
      <c r="N277" s="3" t="s">
        <v>25</v>
      </c>
      <c r="O277" s="3" t="s">
        <v>71</v>
      </c>
      <c r="P277" s="8">
        <v>5</v>
      </c>
    </row>
    <row r="278" spans="1:16" x14ac:dyDescent="0.3">
      <c r="A278" s="6">
        <v>10272</v>
      </c>
      <c r="B278" s="3" t="s">
        <v>582</v>
      </c>
      <c r="C278" s="3" t="s">
        <v>583</v>
      </c>
      <c r="D278" s="3"/>
      <c r="E278" s="3" t="s">
        <v>584</v>
      </c>
      <c r="F278" s="3" t="s">
        <v>214</v>
      </c>
      <c r="G278" s="3" t="s">
        <v>204</v>
      </c>
      <c r="H278" s="3" t="s">
        <v>143</v>
      </c>
      <c r="I278" s="4">
        <v>1</v>
      </c>
      <c r="J278" s="4">
        <v>582</v>
      </c>
      <c r="K278" s="4">
        <v>5</v>
      </c>
      <c r="L278" s="3" t="s">
        <v>372</v>
      </c>
      <c r="M278" s="3" t="s">
        <v>157</v>
      </c>
      <c r="N278" s="3" t="s">
        <v>25</v>
      </c>
      <c r="O278" s="3" t="s">
        <v>174</v>
      </c>
      <c r="P278" s="8">
        <v>3</v>
      </c>
    </row>
    <row r="279" spans="1:16" x14ac:dyDescent="0.3">
      <c r="A279" s="6">
        <v>10273</v>
      </c>
      <c r="B279" s="3" t="s">
        <v>1340</v>
      </c>
      <c r="C279" s="3" t="s">
        <v>681</v>
      </c>
      <c r="D279" s="3" t="s">
        <v>1341</v>
      </c>
      <c r="E279" s="3" t="s">
        <v>172</v>
      </c>
      <c r="F279" s="3" t="s">
        <v>348</v>
      </c>
      <c r="G279" s="3" t="s">
        <v>221</v>
      </c>
      <c r="H279" s="3" t="s">
        <v>83</v>
      </c>
      <c r="I279" s="4">
        <v>1</v>
      </c>
      <c r="J279" s="4">
        <v>33378</v>
      </c>
      <c r="K279" s="4">
        <v>5</v>
      </c>
      <c r="L279" s="3" t="s">
        <v>1342</v>
      </c>
      <c r="M279" s="3" t="s">
        <v>78</v>
      </c>
      <c r="N279" s="3" t="s">
        <v>25</v>
      </c>
      <c r="O279" s="3" t="s">
        <v>34</v>
      </c>
      <c r="P279" s="8">
        <v>3</v>
      </c>
    </row>
    <row r="280" spans="1:16" x14ac:dyDescent="0.3">
      <c r="A280" s="5">
        <v>10274</v>
      </c>
      <c r="B280" s="1" t="s">
        <v>574</v>
      </c>
      <c r="C280" s="1" t="s">
        <v>1261</v>
      </c>
      <c r="D280" s="1" t="s">
        <v>1262</v>
      </c>
      <c r="E280" s="1" t="s">
        <v>219</v>
      </c>
      <c r="F280" s="1" t="s">
        <v>150</v>
      </c>
      <c r="G280" s="1" t="s">
        <v>1004</v>
      </c>
      <c r="H280" s="1" t="s">
        <v>41</v>
      </c>
      <c r="I280" s="2">
        <v>5</v>
      </c>
      <c r="J280" s="2">
        <v>352</v>
      </c>
      <c r="K280" s="2"/>
      <c r="L280" s="1" t="s">
        <v>1263</v>
      </c>
      <c r="M280" s="1" t="s">
        <v>94</v>
      </c>
      <c r="N280" s="1" t="s">
        <v>108</v>
      </c>
      <c r="O280" s="1" t="s">
        <v>174</v>
      </c>
      <c r="P280" s="7">
        <v>5</v>
      </c>
    </row>
    <row r="281" spans="1:16" x14ac:dyDescent="0.3">
      <c r="A281" s="6">
        <v>10275</v>
      </c>
      <c r="B281" s="3" t="s">
        <v>981</v>
      </c>
      <c r="C281" s="3" t="s">
        <v>982</v>
      </c>
      <c r="D281" s="3" t="s">
        <v>983</v>
      </c>
      <c r="E281" s="3" t="s">
        <v>111</v>
      </c>
      <c r="F281" s="3" t="s">
        <v>111</v>
      </c>
      <c r="G281" s="3" t="s">
        <v>984</v>
      </c>
      <c r="H281" s="3" t="s">
        <v>22</v>
      </c>
      <c r="I281" s="4">
        <v>5</v>
      </c>
      <c r="J281" s="4">
        <v>869</v>
      </c>
      <c r="K281" s="4"/>
      <c r="L281" s="3" t="s">
        <v>985</v>
      </c>
      <c r="M281" s="3" t="s">
        <v>78</v>
      </c>
      <c r="N281" s="3" t="s">
        <v>25</v>
      </c>
      <c r="O281" s="3"/>
      <c r="P281" s="8">
        <v>2</v>
      </c>
    </row>
    <row r="282" spans="1:16" x14ac:dyDescent="0.3">
      <c r="A282" s="6">
        <v>10276</v>
      </c>
      <c r="B282" s="3" t="s">
        <v>763</v>
      </c>
      <c r="C282" s="3" t="s">
        <v>182</v>
      </c>
      <c r="D282" s="3" t="s">
        <v>1207</v>
      </c>
      <c r="E282" s="3" t="s">
        <v>572</v>
      </c>
      <c r="F282" s="3" t="s">
        <v>50</v>
      </c>
      <c r="G282" s="3" t="s">
        <v>142</v>
      </c>
      <c r="H282" s="3" t="s">
        <v>143</v>
      </c>
      <c r="I282" s="4">
        <v>3</v>
      </c>
      <c r="J282" s="4">
        <v>625</v>
      </c>
      <c r="K282" s="4">
        <v>15</v>
      </c>
      <c r="L282" s="3" t="s">
        <v>1208</v>
      </c>
      <c r="M282" s="3" t="s">
        <v>85</v>
      </c>
      <c r="N282" s="3" t="s">
        <v>33</v>
      </c>
      <c r="O282" s="3" t="s">
        <v>71</v>
      </c>
      <c r="P282" s="8">
        <v>3</v>
      </c>
    </row>
    <row r="283" spans="1:16" x14ac:dyDescent="0.3">
      <c r="A283" s="5">
        <v>10277</v>
      </c>
      <c r="B283" s="1" t="s">
        <v>1392</v>
      </c>
      <c r="C283" s="1" t="s">
        <v>176</v>
      </c>
      <c r="D283" s="1" t="s">
        <v>1393</v>
      </c>
      <c r="E283" s="1" t="s">
        <v>893</v>
      </c>
      <c r="F283" s="1" t="s">
        <v>20</v>
      </c>
      <c r="G283" s="1" t="s">
        <v>544</v>
      </c>
      <c r="H283" s="1" t="s">
        <v>83</v>
      </c>
      <c r="I283" s="2">
        <v>3</v>
      </c>
      <c r="J283" s="2">
        <v>55885</v>
      </c>
      <c r="K283" s="2"/>
      <c r="L283" s="1" t="s">
        <v>1394</v>
      </c>
      <c r="M283" s="1" t="s">
        <v>78</v>
      </c>
      <c r="N283" s="1" t="s">
        <v>25</v>
      </c>
      <c r="O283" s="1" t="s">
        <v>53</v>
      </c>
      <c r="P283" s="7">
        <v>2</v>
      </c>
    </row>
    <row r="284" spans="1:16" x14ac:dyDescent="0.3">
      <c r="A284" s="5">
        <v>10278</v>
      </c>
      <c r="B284" s="1" t="s">
        <v>290</v>
      </c>
      <c r="C284" s="1" t="s">
        <v>291</v>
      </c>
      <c r="D284" s="1" t="s">
        <v>1564</v>
      </c>
      <c r="E284" s="1" t="s">
        <v>111</v>
      </c>
      <c r="F284" s="1" t="s">
        <v>111</v>
      </c>
      <c r="G284" s="1" t="s">
        <v>198</v>
      </c>
      <c r="H284" s="1" t="s">
        <v>41</v>
      </c>
      <c r="I284" s="2">
        <v>3</v>
      </c>
      <c r="J284" s="2">
        <v>360</v>
      </c>
      <c r="K284" s="2"/>
      <c r="L284" s="1" t="s">
        <v>1565</v>
      </c>
      <c r="M284" s="1" t="s">
        <v>94</v>
      </c>
      <c r="N284" s="1" t="s">
        <v>25</v>
      </c>
      <c r="O284" s="1" t="s">
        <v>174</v>
      </c>
      <c r="P284" s="7"/>
    </row>
    <row r="285" spans="1:16" x14ac:dyDescent="0.3">
      <c r="A285" s="5">
        <v>10279</v>
      </c>
      <c r="B285" s="1" t="s">
        <v>1062</v>
      </c>
      <c r="C285" s="1" t="s">
        <v>224</v>
      </c>
      <c r="D285" s="1"/>
      <c r="E285" s="1" t="s">
        <v>391</v>
      </c>
      <c r="F285" s="1" t="s">
        <v>90</v>
      </c>
      <c r="G285" s="1" t="s">
        <v>91</v>
      </c>
      <c r="H285" s="1" t="s">
        <v>92</v>
      </c>
      <c r="I285" s="2">
        <v>2</v>
      </c>
      <c r="J285" s="2">
        <v>2908</v>
      </c>
      <c r="K285" s="2">
        <v>15</v>
      </c>
      <c r="L285" s="1" t="s">
        <v>1413</v>
      </c>
      <c r="M285" s="1" t="s">
        <v>78</v>
      </c>
      <c r="N285" s="1" t="s">
        <v>70</v>
      </c>
      <c r="O285" s="1" t="s">
        <v>45</v>
      </c>
      <c r="P285" s="7">
        <v>3</v>
      </c>
    </row>
    <row r="286" spans="1:16" x14ac:dyDescent="0.3">
      <c r="A286" s="5">
        <v>10280</v>
      </c>
      <c r="B286" s="1" t="s">
        <v>1297</v>
      </c>
      <c r="C286" s="1" t="s">
        <v>1579</v>
      </c>
      <c r="D286" s="1" t="s">
        <v>1625</v>
      </c>
      <c r="E286" s="1" t="s">
        <v>767</v>
      </c>
      <c r="F286" s="1" t="s">
        <v>396</v>
      </c>
      <c r="G286" s="1" t="s">
        <v>397</v>
      </c>
      <c r="H286" s="1" t="s">
        <v>143</v>
      </c>
      <c r="I286" s="2">
        <v>4</v>
      </c>
      <c r="J286" s="2">
        <v>459</v>
      </c>
      <c r="K286" s="2">
        <v>0</v>
      </c>
      <c r="L286" s="1" t="s">
        <v>1626</v>
      </c>
      <c r="M286" s="1" t="s">
        <v>200</v>
      </c>
      <c r="N286" s="1" t="s">
        <v>119</v>
      </c>
      <c r="O286" s="1" t="s">
        <v>71</v>
      </c>
      <c r="P286" s="7"/>
    </row>
    <row r="287" spans="1:16" x14ac:dyDescent="0.3">
      <c r="A287" s="6">
        <v>10281</v>
      </c>
      <c r="B287" s="3" t="s">
        <v>383</v>
      </c>
      <c r="C287" s="3" t="s">
        <v>384</v>
      </c>
      <c r="D287" s="3" t="s">
        <v>385</v>
      </c>
      <c r="E287" s="3" t="s">
        <v>269</v>
      </c>
      <c r="F287" s="3" t="s">
        <v>386</v>
      </c>
      <c r="G287" s="3" t="s">
        <v>82</v>
      </c>
      <c r="H287" s="3" t="s">
        <v>83</v>
      </c>
      <c r="I287" s="4">
        <v>3</v>
      </c>
      <c r="J287" s="4">
        <v>59520</v>
      </c>
      <c r="K287" s="4"/>
      <c r="L287" s="3" t="s">
        <v>387</v>
      </c>
      <c r="M287" s="3" t="s">
        <v>43</v>
      </c>
      <c r="N287" s="3" t="s">
        <v>25</v>
      </c>
      <c r="O287" s="3" t="s">
        <v>34</v>
      </c>
      <c r="P287" s="8">
        <v>3</v>
      </c>
    </row>
    <row r="288" spans="1:16" x14ac:dyDescent="0.3">
      <c r="A288" s="5">
        <v>10282</v>
      </c>
      <c r="B288" s="1" t="s">
        <v>364</v>
      </c>
      <c r="C288" s="1" t="s">
        <v>365</v>
      </c>
      <c r="D288" s="1" t="s">
        <v>366</v>
      </c>
      <c r="E288" s="1" t="s">
        <v>367</v>
      </c>
      <c r="F288" s="1" t="s">
        <v>362</v>
      </c>
      <c r="G288" s="1" t="s">
        <v>368</v>
      </c>
      <c r="H288" s="1" t="s">
        <v>22</v>
      </c>
      <c r="I288" s="2">
        <v>5</v>
      </c>
      <c r="J288" s="2">
        <v>1683</v>
      </c>
      <c r="K288" s="2">
        <v>15</v>
      </c>
      <c r="L288" s="1" t="s">
        <v>369</v>
      </c>
      <c r="M288" s="1" t="s">
        <v>43</v>
      </c>
      <c r="N288" s="1" t="s">
        <v>70</v>
      </c>
      <c r="O288" s="1" t="s">
        <v>53</v>
      </c>
      <c r="P288" s="7">
        <v>3</v>
      </c>
    </row>
    <row r="289" spans="1:16" x14ac:dyDescent="0.3">
      <c r="A289" s="6">
        <v>10283</v>
      </c>
      <c r="B289" s="3" t="s">
        <v>271</v>
      </c>
      <c r="C289" s="3" t="s">
        <v>256</v>
      </c>
      <c r="D289" s="3" t="s">
        <v>272</v>
      </c>
      <c r="E289" s="3" t="s">
        <v>273</v>
      </c>
      <c r="F289" s="3" t="s">
        <v>274</v>
      </c>
      <c r="G289" s="3" t="s">
        <v>59</v>
      </c>
      <c r="H289" s="3" t="s">
        <v>60</v>
      </c>
      <c r="I289" s="4">
        <v>1</v>
      </c>
      <c r="J289" s="4">
        <v>529</v>
      </c>
      <c r="K289" s="4">
        <v>15</v>
      </c>
      <c r="L289" s="3" t="s">
        <v>275</v>
      </c>
      <c r="M289" s="3" t="s">
        <v>94</v>
      </c>
      <c r="N289" s="3" t="s">
        <v>25</v>
      </c>
      <c r="O289" s="3" t="s">
        <v>45</v>
      </c>
      <c r="P289" s="8">
        <v>4</v>
      </c>
    </row>
    <row r="290" spans="1:16" x14ac:dyDescent="0.3">
      <c r="A290" s="6">
        <v>10284</v>
      </c>
      <c r="B290" s="3" t="s">
        <v>250</v>
      </c>
      <c r="C290" s="3" t="s">
        <v>251</v>
      </c>
      <c r="D290" s="3" t="s">
        <v>252</v>
      </c>
      <c r="E290" s="3" t="s">
        <v>253</v>
      </c>
      <c r="F290" s="3" t="s">
        <v>58</v>
      </c>
      <c r="G290" s="3" t="s">
        <v>136</v>
      </c>
      <c r="H290" s="3" t="s">
        <v>22</v>
      </c>
      <c r="I290" s="4">
        <v>3</v>
      </c>
      <c r="J290" s="4">
        <v>1520</v>
      </c>
      <c r="K290" s="4">
        <v>5</v>
      </c>
      <c r="L290" s="3" t="s">
        <v>254</v>
      </c>
      <c r="M290" s="3" t="s">
        <v>157</v>
      </c>
      <c r="N290" s="3" t="s">
        <v>25</v>
      </c>
      <c r="O290" s="3" t="s">
        <v>71</v>
      </c>
      <c r="P290" s="8">
        <v>3</v>
      </c>
    </row>
    <row r="291" spans="1:16" x14ac:dyDescent="0.3">
      <c r="A291" s="5">
        <v>10285</v>
      </c>
      <c r="B291" s="1" t="s">
        <v>1333</v>
      </c>
      <c r="C291" s="1" t="s">
        <v>1334</v>
      </c>
      <c r="D291" s="1"/>
      <c r="E291" s="1" t="s">
        <v>184</v>
      </c>
      <c r="F291" s="1" t="s">
        <v>899</v>
      </c>
      <c r="G291" s="1" t="s">
        <v>59</v>
      </c>
      <c r="H291" s="1" t="s">
        <v>60</v>
      </c>
      <c r="I291" s="2">
        <v>1</v>
      </c>
      <c r="J291" s="2">
        <v>703</v>
      </c>
      <c r="K291" s="2">
        <v>20</v>
      </c>
      <c r="L291" s="1" t="s">
        <v>1416</v>
      </c>
      <c r="M291" s="1" t="s">
        <v>69</v>
      </c>
      <c r="N291" s="1" t="s">
        <v>70</v>
      </c>
      <c r="O291" s="1" t="s">
        <v>71</v>
      </c>
      <c r="P291" s="7">
        <v>2</v>
      </c>
    </row>
    <row r="292" spans="1:16" x14ac:dyDescent="0.3">
      <c r="A292" s="5">
        <v>10286</v>
      </c>
      <c r="B292" s="1" t="s">
        <v>1267</v>
      </c>
      <c r="C292" s="1" t="s">
        <v>833</v>
      </c>
      <c r="D292" s="1" t="s">
        <v>1268</v>
      </c>
      <c r="E292" s="1" t="s">
        <v>543</v>
      </c>
      <c r="F292" s="1" t="s">
        <v>39</v>
      </c>
      <c r="G292" s="1" t="s">
        <v>1226</v>
      </c>
      <c r="H292" s="1" t="s">
        <v>41</v>
      </c>
      <c r="I292" s="2">
        <v>2</v>
      </c>
      <c r="J292" s="2">
        <v>123</v>
      </c>
      <c r="K292" s="2">
        <v>15</v>
      </c>
      <c r="L292" s="1" t="s">
        <v>772</v>
      </c>
      <c r="M292" s="1" t="s">
        <v>43</v>
      </c>
      <c r="N292" s="1" t="s">
        <v>70</v>
      </c>
      <c r="O292" s="1" t="s">
        <v>45</v>
      </c>
      <c r="P292" s="7">
        <v>4</v>
      </c>
    </row>
    <row r="293" spans="1:16" x14ac:dyDescent="0.3">
      <c r="A293" s="5">
        <v>10287</v>
      </c>
      <c r="B293" s="1" t="s">
        <v>728</v>
      </c>
      <c r="C293" s="1" t="s">
        <v>729</v>
      </c>
      <c r="D293" s="1" t="s">
        <v>1556</v>
      </c>
      <c r="E293" s="1" t="s">
        <v>247</v>
      </c>
      <c r="F293" s="1" t="s">
        <v>259</v>
      </c>
      <c r="G293" s="1" t="s">
        <v>106</v>
      </c>
      <c r="H293" s="1" t="s">
        <v>83</v>
      </c>
      <c r="I293" s="2">
        <v>1</v>
      </c>
      <c r="J293" s="2">
        <v>12747</v>
      </c>
      <c r="K293" s="2">
        <v>15</v>
      </c>
      <c r="L293" s="1" t="s">
        <v>1557</v>
      </c>
      <c r="M293" s="1" t="s">
        <v>560</v>
      </c>
      <c r="N293" s="1" t="s">
        <v>25</v>
      </c>
      <c r="O293" s="1" t="s">
        <v>174</v>
      </c>
      <c r="P293" s="7"/>
    </row>
    <row r="294" spans="1:16" x14ac:dyDescent="0.3">
      <c r="A294" s="5">
        <v>10288</v>
      </c>
      <c r="B294" s="1" t="s">
        <v>520</v>
      </c>
      <c r="C294" s="1" t="s">
        <v>521</v>
      </c>
      <c r="D294" s="1" t="s">
        <v>522</v>
      </c>
      <c r="E294" s="1" t="s">
        <v>297</v>
      </c>
      <c r="F294" s="1" t="s">
        <v>220</v>
      </c>
      <c r="G294" s="1" t="s">
        <v>112</v>
      </c>
      <c r="H294" s="1" t="s">
        <v>83</v>
      </c>
      <c r="I294" s="2">
        <v>2</v>
      </c>
      <c r="J294" s="2">
        <v>26148</v>
      </c>
      <c r="K294" s="2"/>
      <c r="L294" s="1" t="s">
        <v>523</v>
      </c>
      <c r="M294" s="1" t="s">
        <v>200</v>
      </c>
      <c r="N294" s="1" t="s">
        <v>25</v>
      </c>
      <c r="O294" s="1" t="s">
        <v>71</v>
      </c>
      <c r="P294" s="7">
        <v>2</v>
      </c>
    </row>
    <row r="295" spans="1:16" x14ac:dyDescent="0.3">
      <c r="A295" s="5">
        <v>10289</v>
      </c>
      <c r="B295" s="1" t="s">
        <v>447</v>
      </c>
      <c r="C295" s="1" t="s">
        <v>448</v>
      </c>
      <c r="D295" s="1" t="s">
        <v>449</v>
      </c>
      <c r="E295" s="1" t="s">
        <v>391</v>
      </c>
      <c r="F295" s="1" t="s">
        <v>90</v>
      </c>
      <c r="G295" s="1" t="s">
        <v>161</v>
      </c>
      <c r="H295" s="1" t="s">
        <v>83</v>
      </c>
      <c r="I295" s="2">
        <v>4</v>
      </c>
      <c r="J295" s="2">
        <v>16324</v>
      </c>
      <c r="K295" s="2">
        <v>5</v>
      </c>
      <c r="L295" s="1" t="s">
        <v>450</v>
      </c>
      <c r="M295" s="1" t="s">
        <v>78</v>
      </c>
      <c r="N295" s="1" t="s">
        <v>70</v>
      </c>
      <c r="O295" s="1" t="s">
        <v>174</v>
      </c>
      <c r="P295" s="7">
        <v>3</v>
      </c>
    </row>
    <row r="296" spans="1:16" x14ac:dyDescent="0.3">
      <c r="A296" s="6">
        <v>10290</v>
      </c>
      <c r="B296" s="3" t="s">
        <v>968</v>
      </c>
      <c r="C296" s="3" t="s">
        <v>969</v>
      </c>
      <c r="D296" s="3" t="s">
        <v>970</v>
      </c>
      <c r="E296" s="3" t="s">
        <v>123</v>
      </c>
      <c r="F296" s="3" t="s">
        <v>90</v>
      </c>
      <c r="G296" s="3" t="s">
        <v>411</v>
      </c>
      <c r="H296" s="3" t="s">
        <v>83</v>
      </c>
      <c r="I296" s="4">
        <v>2</v>
      </c>
      <c r="J296" s="4">
        <v>54723</v>
      </c>
      <c r="K296" s="4"/>
      <c r="L296" s="3" t="s">
        <v>971</v>
      </c>
      <c r="M296" s="3" t="s">
        <v>186</v>
      </c>
      <c r="N296" s="3" t="s">
        <v>33</v>
      </c>
      <c r="O296" s="3" t="s">
        <v>53</v>
      </c>
      <c r="P296" s="8">
        <v>1</v>
      </c>
    </row>
    <row r="297" spans="1:16" x14ac:dyDescent="0.3">
      <c r="A297" s="6">
        <v>10291</v>
      </c>
      <c r="B297" s="3" t="s">
        <v>1053</v>
      </c>
      <c r="C297" s="3" t="s">
        <v>590</v>
      </c>
      <c r="D297" s="3" t="s">
        <v>1054</v>
      </c>
      <c r="E297" s="3" t="s">
        <v>279</v>
      </c>
      <c r="F297" s="3" t="s">
        <v>776</v>
      </c>
      <c r="G297" s="3" t="s">
        <v>204</v>
      </c>
      <c r="H297" s="3" t="s">
        <v>143</v>
      </c>
      <c r="I297" s="4">
        <v>3</v>
      </c>
      <c r="J297" s="4">
        <v>291</v>
      </c>
      <c r="K297" s="4">
        <v>20</v>
      </c>
      <c r="L297" s="3" t="s">
        <v>825</v>
      </c>
      <c r="M297" s="3" t="s">
        <v>200</v>
      </c>
      <c r="N297" s="3" t="s">
        <v>25</v>
      </c>
      <c r="O297" s="3" t="s">
        <v>34</v>
      </c>
      <c r="P297" s="8">
        <v>5</v>
      </c>
    </row>
    <row r="298" spans="1:16" x14ac:dyDescent="0.3">
      <c r="A298" s="6">
        <v>10292</v>
      </c>
      <c r="B298" s="3" t="s">
        <v>360</v>
      </c>
      <c r="C298" s="3" t="s">
        <v>315</v>
      </c>
      <c r="D298" s="3" t="s">
        <v>361</v>
      </c>
      <c r="E298" s="3" t="s">
        <v>343</v>
      </c>
      <c r="F298" s="3" t="s">
        <v>362</v>
      </c>
      <c r="G298" s="3" t="s">
        <v>280</v>
      </c>
      <c r="H298" s="3" t="s">
        <v>41</v>
      </c>
      <c r="I298" s="4">
        <v>5</v>
      </c>
      <c r="J298" s="4">
        <v>187</v>
      </c>
      <c r="K298" s="4">
        <v>20</v>
      </c>
      <c r="L298" s="3" t="s">
        <v>363</v>
      </c>
      <c r="M298" s="3" t="s">
        <v>94</v>
      </c>
      <c r="N298" s="3" t="s">
        <v>33</v>
      </c>
      <c r="O298" s="3" t="s">
        <v>174</v>
      </c>
      <c r="P298" s="8">
        <v>4</v>
      </c>
    </row>
    <row r="299" spans="1:16" x14ac:dyDescent="0.3">
      <c r="A299" s="5">
        <v>10293</v>
      </c>
      <c r="B299" s="1" t="s">
        <v>487</v>
      </c>
      <c r="C299" s="1" t="s">
        <v>80</v>
      </c>
      <c r="D299" s="1" t="s">
        <v>488</v>
      </c>
      <c r="E299" s="1" t="s">
        <v>317</v>
      </c>
      <c r="F299" s="1" t="s">
        <v>20</v>
      </c>
      <c r="G299" s="1" t="s">
        <v>298</v>
      </c>
      <c r="H299" s="1" t="s">
        <v>22</v>
      </c>
      <c r="I299" s="2">
        <v>4</v>
      </c>
      <c r="J299" s="2">
        <v>1889</v>
      </c>
      <c r="K299" s="2"/>
      <c r="L299" s="1" t="s">
        <v>489</v>
      </c>
      <c r="M299" s="1" t="s">
        <v>94</v>
      </c>
      <c r="N299" s="1" t="s">
        <v>25</v>
      </c>
      <c r="O299" s="1" t="s">
        <v>34</v>
      </c>
      <c r="P299" s="7"/>
    </row>
    <row r="300" spans="1:16" x14ac:dyDescent="0.3">
      <c r="A300" s="6">
        <v>10294</v>
      </c>
      <c r="B300" s="3" t="s">
        <v>936</v>
      </c>
      <c r="C300" s="3" t="s">
        <v>937</v>
      </c>
      <c r="D300" s="3" t="s">
        <v>1009</v>
      </c>
      <c r="E300" s="3" t="s">
        <v>343</v>
      </c>
      <c r="F300" s="3" t="s">
        <v>20</v>
      </c>
      <c r="G300" s="3" t="s">
        <v>67</v>
      </c>
      <c r="H300" s="3" t="s">
        <v>41</v>
      </c>
      <c r="I300" s="4">
        <v>4</v>
      </c>
      <c r="J300" s="4">
        <v>368</v>
      </c>
      <c r="K300" s="4">
        <v>20</v>
      </c>
      <c r="L300" s="3" t="s">
        <v>1010</v>
      </c>
      <c r="M300" s="3" t="s">
        <v>78</v>
      </c>
      <c r="N300" s="3" t="s">
        <v>25</v>
      </c>
      <c r="O300" s="3" t="s">
        <v>45</v>
      </c>
      <c r="P300" s="8">
        <v>4</v>
      </c>
    </row>
    <row r="301" spans="1:16" x14ac:dyDescent="0.3">
      <c r="A301" s="5">
        <v>10295</v>
      </c>
      <c r="B301" s="1" t="s">
        <v>102</v>
      </c>
      <c r="C301" s="1" t="s">
        <v>87</v>
      </c>
      <c r="D301" s="1" t="s">
        <v>103</v>
      </c>
      <c r="E301" s="1" t="s">
        <v>104</v>
      </c>
      <c r="F301" s="1" t="s">
        <v>105</v>
      </c>
      <c r="G301" s="1" t="s">
        <v>106</v>
      </c>
      <c r="H301" s="1" t="s">
        <v>83</v>
      </c>
      <c r="I301" s="2">
        <v>4</v>
      </c>
      <c r="J301" s="2">
        <v>12020</v>
      </c>
      <c r="K301" s="2">
        <v>0</v>
      </c>
      <c r="L301" s="1" t="s">
        <v>107</v>
      </c>
      <c r="M301" s="1" t="s">
        <v>24</v>
      </c>
      <c r="N301" s="1" t="s">
        <v>108</v>
      </c>
      <c r="O301" s="1"/>
      <c r="P301" s="7">
        <v>5</v>
      </c>
    </row>
    <row r="302" spans="1:16" x14ac:dyDescent="0.3">
      <c r="A302" s="6">
        <v>10296</v>
      </c>
      <c r="B302" s="3" t="s">
        <v>422</v>
      </c>
      <c r="C302" s="3" t="s">
        <v>315</v>
      </c>
      <c r="D302" s="3" t="s">
        <v>1590</v>
      </c>
      <c r="E302" s="3" t="s">
        <v>197</v>
      </c>
      <c r="F302" s="3" t="s">
        <v>396</v>
      </c>
      <c r="G302" s="3" t="s">
        <v>112</v>
      </c>
      <c r="H302" s="3" t="s">
        <v>83</v>
      </c>
      <c r="I302" s="4">
        <v>5</v>
      </c>
      <c r="J302" s="4">
        <v>33793</v>
      </c>
      <c r="K302" s="4">
        <v>15</v>
      </c>
      <c r="L302" s="3" t="s">
        <v>1591</v>
      </c>
      <c r="M302" s="3" t="s">
        <v>145</v>
      </c>
      <c r="N302" s="3" t="s">
        <v>25</v>
      </c>
      <c r="O302" s="3" t="s">
        <v>34</v>
      </c>
      <c r="P302" s="8">
        <v>5</v>
      </c>
    </row>
    <row r="303" spans="1:16" x14ac:dyDescent="0.3">
      <c r="A303" s="5">
        <v>10297</v>
      </c>
      <c r="B303" s="1" t="s">
        <v>114</v>
      </c>
      <c r="C303" s="1" t="s">
        <v>115</v>
      </c>
      <c r="D303" s="1" t="s">
        <v>116</v>
      </c>
      <c r="E303" s="1" t="s">
        <v>117</v>
      </c>
      <c r="F303" s="1" t="s">
        <v>111</v>
      </c>
      <c r="G303" s="1" t="s">
        <v>59</v>
      </c>
      <c r="H303" s="1" t="s">
        <v>60</v>
      </c>
      <c r="I303" s="2">
        <v>3</v>
      </c>
      <c r="J303" s="2">
        <v>663</v>
      </c>
      <c r="K303" s="2">
        <v>20</v>
      </c>
      <c r="L303" s="1" t="s">
        <v>118</v>
      </c>
      <c r="M303" s="1" t="s">
        <v>69</v>
      </c>
      <c r="N303" s="1" t="s">
        <v>119</v>
      </c>
      <c r="O303" s="1" t="s">
        <v>45</v>
      </c>
      <c r="P303" s="7">
        <v>2</v>
      </c>
    </row>
    <row r="304" spans="1:16" x14ac:dyDescent="0.3">
      <c r="A304" s="5">
        <v>10298</v>
      </c>
      <c r="B304" s="1" t="s">
        <v>811</v>
      </c>
      <c r="C304" s="1"/>
      <c r="D304" s="1" t="s">
        <v>812</v>
      </c>
      <c r="E304" s="1" t="s">
        <v>343</v>
      </c>
      <c r="F304" s="1" t="s">
        <v>58</v>
      </c>
      <c r="G304" s="1" t="s">
        <v>136</v>
      </c>
      <c r="H304" s="1" t="s">
        <v>22</v>
      </c>
      <c r="I304" s="2">
        <v>4</v>
      </c>
      <c r="J304" s="2">
        <v>1735</v>
      </c>
      <c r="K304" s="2"/>
      <c r="L304" s="1" t="s">
        <v>813</v>
      </c>
      <c r="M304" s="1" t="s">
        <v>101</v>
      </c>
      <c r="N304" s="1" t="s">
        <v>814</v>
      </c>
      <c r="O304" s="1" t="s">
        <v>71</v>
      </c>
      <c r="P304" s="7">
        <v>1</v>
      </c>
    </row>
    <row r="305" spans="1:16" x14ac:dyDescent="0.3">
      <c r="A305" s="5">
        <v>10299</v>
      </c>
      <c r="B305" s="1" t="s">
        <v>1051</v>
      </c>
      <c r="C305" s="1" t="s">
        <v>229</v>
      </c>
      <c r="D305" s="1" t="s">
        <v>1548</v>
      </c>
      <c r="E305" s="1" t="s">
        <v>965</v>
      </c>
      <c r="F305" s="1" t="s">
        <v>563</v>
      </c>
      <c r="G305" s="1" t="s">
        <v>368</v>
      </c>
      <c r="H305" s="1" t="s">
        <v>22</v>
      </c>
      <c r="I305" s="2">
        <v>5</v>
      </c>
      <c r="J305" s="2">
        <v>1661</v>
      </c>
      <c r="K305" s="2"/>
      <c r="L305" s="1" t="s">
        <v>1549</v>
      </c>
      <c r="M305" s="1" t="s">
        <v>69</v>
      </c>
      <c r="N305" s="1" t="s">
        <v>25</v>
      </c>
      <c r="O305" s="1" t="s">
        <v>71</v>
      </c>
      <c r="P305" s="7">
        <v>1</v>
      </c>
    </row>
    <row r="306" spans="1:16" x14ac:dyDescent="0.3">
      <c r="A306" s="6">
        <v>10300</v>
      </c>
      <c r="B306" s="3" t="s">
        <v>1616</v>
      </c>
      <c r="C306" s="3" t="s">
        <v>1617</v>
      </c>
      <c r="D306" s="3" t="s">
        <v>1618</v>
      </c>
      <c r="E306" s="3" t="s">
        <v>1285</v>
      </c>
      <c r="F306" s="3" t="s">
        <v>899</v>
      </c>
      <c r="G306" s="3" t="s">
        <v>59</v>
      </c>
      <c r="H306" s="3" t="s">
        <v>60</v>
      </c>
      <c r="I306" s="4">
        <v>5</v>
      </c>
      <c r="J306" s="4">
        <v>534</v>
      </c>
      <c r="K306" s="4">
        <v>5</v>
      </c>
      <c r="L306" s="3" t="s">
        <v>1482</v>
      </c>
      <c r="M306" s="3" t="s">
        <v>126</v>
      </c>
      <c r="N306" s="3" t="s">
        <v>25</v>
      </c>
      <c r="O306" s="3" t="s">
        <v>45</v>
      </c>
      <c r="P306" s="8">
        <v>3</v>
      </c>
    </row>
    <row r="307" spans="1:16" x14ac:dyDescent="0.3">
      <c r="A307" s="6">
        <v>10301</v>
      </c>
      <c r="B307" s="3" t="s">
        <v>870</v>
      </c>
      <c r="C307" s="3" t="s">
        <v>871</v>
      </c>
      <c r="D307" s="3" t="s">
        <v>872</v>
      </c>
      <c r="E307" s="3" t="s">
        <v>38</v>
      </c>
      <c r="F307" s="3" t="s">
        <v>429</v>
      </c>
      <c r="G307" s="3" t="s">
        <v>21</v>
      </c>
      <c r="H307" s="3" t="s">
        <v>22</v>
      </c>
      <c r="I307" s="4">
        <v>1</v>
      </c>
      <c r="J307" s="4">
        <v>1004</v>
      </c>
      <c r="K307" s="4"/>
      <c r="L307" s="3" t="s">
        <v>873</v>
      </c>
      <c r="M307" s="3" t="s">
        <v>560</v>
      </c>
      <c r="N307" s="3" t="s">
        <v>25</v>
      </c>
      <c r="O307" s="3"/>
      <c r="P307" s="8">
        <v>2</v>
      </c>
    </row>
    <row r="308" spans="1:16" x14ac:dyDescent="0.3">
      <c r="A308" s="5">
        <v>10302</v>
      </c>
      <c r="B308" s="1" t="s">
        <v>732</v>
      </c>
      <c r="C308" s="1" t="s">
        <v>283</v>
      </c>
      <c r="D308" s="1" t="s">
        <v>733</v>
      </c>
      <c r="E308" s="1" t="s">
        <v>734</v>
      </c>
      <c r="F308" s="1" t="s">
        <v>39</v>
      </c>
      <c r="G308" s="1" t="s">
        <v>280</v>
      </c>
      <c r="H308" s="1" t="s">
        <v>41</v>
      </c>
      <c r="I308" s="2">
        <v>4</v>
      </c>
      <c r="J308" s="2">
        <v>174</v>
      </c>
      <c r="K308" s="2">
        <v>20</v>
      </c>
      <c r="L308" s="1" t="s">
        <v>735</v>
      </c>
      <c r="M308" s="1" t="s">
        <v>78</v>
      </c>
      <c r="N308" s="1" t="s">
        <v>33</v>
      </c>
      <c r="O308" s="1" t="s">
        <v>53</v>
      </c>
      <c r="P308" s="7">
        <v>5</v>
      </c>
    </row>
    <row r="309" spans="1:16" x14ac:dyDescent="0.3">
      <c r="A309" s="5">
        <v>10303</v>
      </c>
      <c r="B309" s="1" t="s">
        <v>388</v>
      </c>
      <c r="C309" s="1" t="s">
        <v>389</v>
      </c>
      <c r="D309" s="1"/>
      <c r="E309" s="1" t="s">
        <v>904</v>
      </c>
      <c r="F309" s="1" t="s">
        <v>563</v>
      </c>
      <c r="G309" s="1" t="s">
        <v>958</v>
      </c>
      <c r="H309" s="1" t="s">
        <v>83</v>
      </c>
      <c r="I309" s="2">
        <v>2</v>
      </c>
      <c r="J309" s="2">
        <v>29461</v>
      </c>
      <c r="K309" s="2"/>
      <c r="L309" s="1" t="s">
        <v>959</v>
      </c>
      <c r="M309" s="1" t="s">
        <v>43</v>
      </c>
      <c r="N309" s="1" t="s">
        <v>33</v>
      </c>
      <c r="O309" s="1" t="s">
        <v>174</v>
      </c>
      <c r="P309" s="7">
        <v>2</v>
      </c>
    </row>
    <row r="310" spans="1:16" x14ac:dyDescent="0.3">
      <c r="A310" s="5">
        <v>10303</v>
      </c>
      <c r="B310" s="1" t="s">
        <v>388</v>
      </c>
      <c r="C310" s="1" t="s">
        <v>389</v>
      </c>
      <c r="D310" s="1"/>
      <c r="E310" s="1" t="s">
        <v>904</v>
      </c>
      <c r="F310" s="1" t="s">
        <v>563</v>
      </c>
      <c r="G310" s="1" t="s">
        <v>958</v>
      </c>
      <c r="H310" s="1" t="s">
        <v>83</v>
      </c>
      <c r="I310" s="2">
        <v>2</v>
      </c>
      <c r="J310" s="2">
        <v>29461</v>
      </c>
      <c r="K310" s="2"/>
      <c r="L310" s="1" t="s">
        <v>959</v>
      </c>
      <c r="M310" s="1" t="s">
        <v>43</v>
      </c>
      <c r="N310" s="1" t="s">
        <v>33</v>
      </c>
      <c r="O310" s="1" t="s">
        <v>174</v>
      </c>
      <c r="P310" s="7">
        <v>2</v>
      </c>
    </row>
    <row r="311" spans="1:16" x14ac:dyDescent="0.3">
      <c r="A311" s="6">
        <v>10304</v>
      </c>
      <c r="B311" s="3" t="s">
        <v>290</v>
      </c>
      <c r="C311" s="3" t="s">
        <v>291</v>
      </c>
      <c r="D311" s="3" t="s">
        <v>1102</v>
      </c>
      <c r="E311" s="3" t="s">
        <v>343</v>
      </c>
      <c r="F311" s="3" t="s">
        <v>50</v>
      </c>
      <c r="G311" s="3" t="s">
        <v>204</v>
      </c>
      <c r="H311" s="3" t="s">
        <v>143</v>
      </c>
      <c r="I311" s="4">
        <v>5</v>
      </c>
      <c r="J311" s="4">
        <v>382</v>
      </c>
      <c r="K311" s="4">
        <v>20</v>
      </c>
      <c r="L311" s="3" t="s">
        <v>844</v>
      </c>
      <c r="M311" s="3" t="s">
        <v>24</v>
      </c>
      <c r="N311" s="3" t="s">
        <v>25</v>
      </c>
      <c r="O311" s="3" t="s">
        <v>53</v>
      </c>
      <c r="P311" s="8">
        <v>1</v>
      </c>
    </row>
    <row r="312" spans="1:16" x14ac:dyDescent="0.3">
      <c r="A312" s="5">
        <v>10305</v>
      </c>
      <c r="B312" s="1" t="s">
        <v>644</v>
      </c>
      <c r="C312" s="1" t="s">
        <v>645</v>
      </c>
      <c r="D312" s="1" t="s">
        <v>646</v>
      </c>
      <c r="E312" s="1" t="s">
        <v>343</v>
      </c>
      <c r="F312" s="1" t="s">
        <v>20</v>
      </c>
      <c r="G312" s="1" t="s">
        <v>204</v>
      </c>
      <c r="H312" s="1" t="s">
        <v>143</v>
      </c>
      <c r="I312" s="2">
        <v>2</v>
      </c>
      <c r="J312" s="2">
        <v>466</v>
      </c>
      <c r="K312" s="2"/>
      <c r="L312" s="1" t="s">
        <v>647</v>
      </c>
      <c r="M312" s="1" t="s">
        <v>78</v>
      </c>
      <c r="N312" s="1" t="s">
        <v>25</v>
      </c>
      <c r="O312" s="1" t="s">
        <v>34</v>
      </c>
      <c r="P312" s="7">
        <v>4</v>
      </c>
    </row>
    <row r="313" spans="1:16" x14ac:dyDescent="0.3">
      <c r="A313" s="6">
        <v>10306</v>
      </c>
      <c r="B313" s="3" t="s">
        <v>845</v>
      </c>
      <c r="C313" s="3" t="s">
        <v>846</v>
      </c>
      <c r="D313" s="3" t="s">
        <v>1356</v>
      </c>
      <c r="E313" s="3" t="s">
        <v>543</v>
      </c>
      <c r="F313" s="3" t="s">
        <v>886</v>
      </c>
      <c r="G313" s="3" t="s">
        <v>82</v>
      </c>
      <c r="H313" s="3" t="s">
        <v>83</v>
      </c>
      <c r="I313" s="4">
        <v>4</v>
      </c>
      <c r="J313" s="4">
        <v>49087</v>
      </c>
      <c r="K313" s="4">
        <v>15</v>
      </c>
      <c r="L313" s="3" t="s">
        <v>1357</v>
      </c>
      <c r="M313" s="3" t="s">
        <v>24</v>
      </c>
      <c r="N313" s="3" t="s">
        <v>33</v>
      </c>
      <c r="O313" s="3" t="s">
        <v>71</v>
      </c>
      <c r="P313" s="8">
        <v>4</v>
      </c>
    </row>
    <row r="314" spans="1:16" x14ac:dyDescent="0.3">
      <c r="A314" s="6">
        <v>10307</v>
      </c>
      <c r="B314" s="3" t="s">
        <v>1133</v>
      </c>
      <c r="C314" s="3" t="s">
        <v>1134</v>
      </c>
      <c r="D314" s="3" t="s">
        <v>1135</v>
      </c>
      <c r="E314" s="3" t="s">
        <v>273</v>
      </c>
      <c r="F314" s="3" t="s">
        <v>274</v>
      </c>
      <c r="G314" s="3" t="s">
        <v>407</v>
      </c>
      <c r="H314" s="3" t="s">
        <v>83</v>
      </c>
      <c r="I314" s="4">
        <v>1</v>
      </c>
      <c r="J314" s="4">
        <v>23156</v>
      </c>
      <c r="K314" s="4">
        <v>20</v>
      </c>
      <c r="L314" s="3" t="s">
        <v>1136</v>
      </c>
      <c r="M314" s="3" t="s">
        <v>101</v>
      </c>
      <c r="N314" s="3" t="s">
        <v>25</v>
      </c>
      <c r="O314" s="3" t="s">
        <v>53</v>
      </c>
      <c r="P314" s="8"/>
    </row>
    <row r="315" spans="1:16" x14ac:dyDescent="0.3">
      <c r="A315" s="6">
        <v>10308</v>
      </c>
      <c r="B315" s="3" t="s">
        <v>169</v>
      </c>
      <c r="C315" s="3" t="s">
        <v>170</v>
      </c>
      <c r="D315" s="3" t="s">
        <v>171</v>
      </c>
      <c r="E315" s="3" t="s">
        <v>172</v>
      </c>
      <c r="F315" s="3" t="s">
        <v>150</v>
      </c>
      <c r="G315" s="3" t="s">
        <v>161</v>
      </c>
      <c r="H315" s="3" t="s">
        <v>83</v>
      </c>
      <c r="I315" s="4">
        <v>5</v>
      </c>
      <c r="J315" s="4">
        <v>27113</v>
      </c>
      <c r="K315" s="4">
        <v>0</v>
      </c>
      <c r="L315" s="3" t="s">
        <v>173</v>
      </c>
      <c r="M315" s="3" t="s">
        <v>78</v>
      </c>
      <c r="N315" s="3" t="s">
        <v>25</v>
      </c>
      <c r="O315" s="3" t="s">
        <v>174</v>
      </c>
      <c r="P315" s="8"/>
    </row>
    <row r="316" spans="1:16" x14ac:dyDescent="0.3">
      <c r="A316" s="6">
        <v>10309</v>
      </c>
      <c r="B316" s="3" t="s">
        <v>1381</v>
      </c>
      <c r="C316" s="3" t="s">
        <v>496</v>
      </c>
      <c r="D316" s="3" t="s">
        <v>1382</v>
      </c>
      <c r="E316" s="3" t="s">
        <v>97</v>
      </c>
      <c r="F316" s="3" t="s">
        <v>98</v>
      </c>
      <c r="G316" s="3" t="s">
        <v>474</v>
      </c>
      <c r="H316" s="3" t="s">
        <v>143</v>
      </c>
      <c r="I316" s="4">
        <v>5</v>
      </c>
      <c r="J316" s="4">
        <v>427</v>
      </c>
      <c r="K316" s="4">
        <v>10</v>
      </c>
      <c r="L316" s="3" t="s">
        <v>1383</v>
      </c>
      <c r="M316" s="3" t="s">
        <v>43</v>
      </c>
      <c r="N316" s="3" t="s">
        <v>25</v>
      </c>
      <c r="O316" s="3" t="s">
        <v>45</v>
      </c>
      <c r="P316" s="8"/>
    </row>
    <row r="317" spans="1:16" x14ac:dyDescent="0.3">
      <c r="A317" s="6">
        <v>10310</v>
      </c>
      <c r="B317" s="3" t="s">
        <v>1188</v>
      </c>
      <c r="C317" s="3" t="s">
        <v>405</v>
      </c>
      <c r="D317" s="3" t="s">
        <v>1426</v>
      </c>
      <c r="E317" s="3" t="s">
        <v>236</v>
      </c>
      <c r="F317" s="3" t="s">
        <v>150</v>
      </c>
      <c r="G317" s="3" t="s">
        <v>99</v>
      </c>
      <c r="H317" s="3" t="s">
        <v>92</v>
      </c>
      <c r="I317" s="4">
        <v>2</v>
      </c>
      <c r="J317" s="4">
        <v>1805</v>
      </c>
      <c r="K317" s="4">
        <v>0</v>
      </c>
      <c r="L317" s="3" t="s">
        <v>1427</v>
      </c>
      <c r="M317" s="3" t="s">
        <v>186</v>
      </c>
      <c r="N317" s="3" t="s">
        <v>25</v>
      </c>
      <c r="O317" s="3" t="s">
        <v>174</v>
      </c>
      <c r="P317" s="8"/>
    </row>
    <row r="318" spans="1:16" x14ac:dyDescent="0.3">
      <c r="A318" s="5">
        <v>10311</v>
      </c>
      <c r="B318" s="1" t="s">
        <v>1188</v>
      </c>
      <c r="C318" s="1" t="s">
        <v>1189</v>
      </c>
      <c r="D318" s="1"/>
      <c r="E318" s="1" t="s">
        <v>57</v>
      </c>
      <c r="F318" s="1" t="s">
        <v>50</v>
      </c>
      <c r="G318" s="1" t="s">
        <v>950</v>
      </c>
      <c r="H318" s="1" t="s">
        <v>83</v>
      </c>
      <c r="I318" s="2">
        <v>3</v>
      </c>
      <c r="J318" s="2">
        <v>6383</v>
      </c>
      <c r="K318" s="2">
        <v>20</v>
      </c>
      <c r="L318" s="1" t="s">
        <v>1190</v>
      </c>
      <c r="M318" s="1" t="s">
        <v>43</v>
      </c>
      <c r="N318" s="1" t="s">
        <v>25</v>
      </c>
      <c r="O318" s="1" t="s">
        <v>174</v>
      </c>
      <c r="P318" s="7">
        <v>4</v>
      </c>
    </row>
    <row r="319" spans="1:16" x14ac:dyDescent="0.3">
      <c r="A319" s="5">
        <v>10312</v>
      </c>
      <c r="B319" s="1" t="s">
        <v>535</v>
      </c>
      <c r="C319" s="1" t="s">
        <v>207</v>
      </c>
      <c r="D319" s="1" t="s">
        <v>536</v>
      </c>
      <c r="E319" s="1" t="s">
        <v>273</v>
      </c>
      <c r="F319" s="1" t="s">
        <v>50</v>
      </c>
      <c r="G319" s="1" t="s">
        <v>112</v>
      </c>
      <c r="H319" s="1" t="s">
        <v>83</v>
      </c>
      <c r="I319" s="2">
        <v>3</v>
      </c>
      <c r="J319" s="2">
        <v>28497</v>
      </c>
      <c r="K319" s="2">
        <v>0</v>
      </c>
      <c r="L319" s="1" t="s">
        <v>537</v>
      </c>
      <c r="M319" s="1" t="s">
        <v>69</v>
      </c>
      <c r="N319" s="1" t="s">
        <v>25</v>
      </c>
      <c r="O319" s="1" t="s">
        <v>174</v>
      </c>
      <c r="P319" s="7"/>
    </row>
    <row r="320" spans="1:16" x14ac:dyDescent="0.3">
      <c r="A320" s="5">
        <v>10313</v>
      </c>
      <c r="B320" s="1" t="s">
        <v>1034</v>
      </c>
      <c r="C320" s="1" t="s">
        <v>928</v>
      </c>
      <c r="D320" s="1" t="s">
        <v>1035</v>
      </c>
      <c r="E320" s="1" t="s">
        <v>401</v>
      </c>
      <c r="F320" s="1" t="s">
        <v>50</v>
      </c>
      <c r="G320" s="1" t="s">
        <v>327</v>
      </c>
      <c r="H320" s="1" t="s">
        <v>22</v>
      </c>
      <c r="I320" s="2">
        <v>5</v>
      </c>
      <c r="J320" s="2">
        <v>1527</v>
      </c>
      <c r="K320" s="2"/>
      <c r="L320" s="1" t="s">
        <v>1036</v>
      </c>
      <c r="M320" s="1" t="s">
        <v>94</v>
      </c>
      <c r="N320" s="1" t="s">
        <v>25</v>
      </c>
      <c r="O320" s="1"/>
      <c r="P320" s="7"/>
    </row>
    <row r="321" spans="1:16" x14ac:dyDescent="0.3">
      <c r="A321" s="5">
        <v>10314</v>
      </c>
      <c r="B321" s="1" t="s">
        <v>1193</v>
      </c>
      <c r="C321" s="1" t="s">
        <v>770</v>
      </c>
      <c r="D321" s="1" t="s">
        <v>1194</v>
      </c>
      <c r="E321" s="1" t="s">
        <v>29</v>
      </c>
      <c r="F321" s="1" t="s">
        <v>90</v>
      </c>
      <c r="G321" s="1" t="s">
        <v>59</v>
      </c>
      <c r="H321" s="1" t="s">
        <v>60</v>
      </c>
      <c r="I321" s="2">
        <v>2</v>
      </c>
      <c r="J321" s="2">
        <v>707</v>
      </c>
      <c r="K321" s="2">
        <v>5</v>
      </c>
      <c r="L321" s="1" t="s">
        <v>1195</v>
      </c>
      <c r="M321" s="1" t="s">
        <v>32</v>
      </c>
      <c r="N321" s="1" t="s">
        <v>70</v>
      </c>
      <c r="O321" s="1" t="s">
        <v>53</v>
      </c>
      <c r="P321" s="7">
        <v>1</v>
      </c>
    </row>
    <row r="322" spans="1:16" x14ac:dyDescent="0.3">
      <c r="A322" s="6">
        <v>10315</v>
      </c>
      <c r="B322" s="3" t="s">
        <v>826</v>
      </c>
      <c r="C322" s="3" t="s">
        <v>622</v>
      </c>
      <c r="D322" s="3" t="s">
        <v>827</v>
      </c>
      <c r="E322" s="3" t="s">
        <v>273</v>
      </c>
      <c r="F322" s="3" t="s">
        <v>50</v>
      </c>
      <c r="G322" s="3" t="s">
        <v>21</v>
      </c>
      <c r="H322" s="3" t="s">
        <v>22</v>
      </c>
      <c r="I322" s="4">
        <v>5</v>
      </c>
      <c r="J322" s="4">
        <v>725</v>
      </c>
      <c r="K322" s="4"/>
      <c r="L322" s="3" t="s">
        <v>828</v>
      </c>
      <c r="M322" s="3" t="s">
        <v>78</v>
      </c>
      <c r="N322" s="3" t="s">
        <v>33</v>
      </c>
      <c r="O322" s="3" t="s">
        <v>53</v>
      </c>
      <c r="P322" s="8"/>
    </row>
    <row r="323" spans="1:16" x14ac:dyDescent="0.3">
      <c r="A323" s="6">
        <v>10316</v>
      </c>
      <c r="B323" s="3" t="s">
        <v>1040</v>
      </c>
      <c r="C323" s="3" t="s">
        <v>1389</v>
      </c>
      <c r="D323" s="3" t="s">
        <v>1390</v>
      </c>
      <c r="E323" s="3" t="s">
        <v>74</v>
      </c>
      <c r="F323" s="3" t="s">
        <v>899</v>
      </c>
      <c r="G323" s="3" t="s">
        <v>179</v>
      </c>
      <c r="H323" s="3" t="s">
        <v>60</v>
      </c>
      <c r="I323" s="4">
        <v>3</v>
      </c>
      <c r="J323" s="4">
        <v>615</v>
      </c>
      <c r="K323" s="4">
        <v>0</v>
      </c>
      <c r="L323" s="3" t="s">
        <v>1391</v>
      </c>
      <c r="M323" s="3" t="s">
        <v>85</v>
      </c>
      <c r="N323" s="3" t="s">
        <v>456</v>
      </c>
      <c r="O323" s="3" t="s">
        <v>45</v>
      </c>
      <c r="P323" s="8">
        <v>5</v>
      </c>
    </row>
    <row r="324" spans="1:16" x14ac:dyDescent="0.3">
      <c r="A324" s="6">
        <v>10317</v>
      </c>
      <c r="B324" s="3" t="s">
        <v>923</v>
      </c>
      <c r="C324" s="3" t="s">
        <v>924</v>
      </c>
      <c r="D324" s="3" t="s">
        <v>1000</v>
      </c>
      <c r="E324" s="3" t="s">
        <v>74</v>
      </c>
      <c r="F324" s="3" t="s">
        <v>105</v>
      </c>
      <c r="G324" s="3" t="s">
        <v>375</v>
      </c>
      <c r="H324" s="3" t="s">
        <v>83</v>
      </c>
      <c r="I324" s="4">
        <v>1</v>
      </c>
      <c r="J324" s="4">
        <v>26986</v>
      </c>
      <c r="K324" s="4">
        <v>0</v>
      </c>
      <c r="L324" s="3" t="s">
        <v>162</v>
      </c>
      <c r="M324" s="3" t="s">
        <v>24</v>
      </c>
      <c r="N324" s="3" t="s">
        <v>25</v>
      </c>
      <c r="O324" s="3"/>
      <c r="P324" s="8">
        <v>1</v>
      </c>
    </row>
    <row r="325" spans="1:16" x14ac:dyDescent="0.3">
      <c r="A325" s="5">
        <v>10318</v>
      </c>
      <c r="B325" s="1" t="s">
        <v>379</v>
      </c>
      <c r="C325" s="1" t="s">
        <v>380</v>
      </c>
      <c r="D325" s="1" t="s">
        <v>1475</v>
      </c>
      <c r="E325" s="1" t="s">
        <v>247</v>
      </c>
      <c r="F325" s="1" t="s">
        <v>776</v>
      </c>
      <c r="G325" s="1" t="s">
        <v>672</v>
      </c>
      <c r="H325" s="1" t="s">
        <v>83</v>
      </c>
      <c r="I325" s="2">
        <v>4</v>
      </c>
      <c r="J325" s="2">
        <v>8088</v>
      </c>
      <c r="K325" s="2">
        <v>5</v>
      </c>
      <c r="L325" s="1" t="s">
        <v>1476</v>
      </c>
      <c r="M325" s="1" t="s">
        <v>69</v>
      </c>
      <c r="N325" s="1" t="s">
        <v>25</v>
      </c>
      <c r="O325" s="1"/>
      <c r="P325" s="7">
        <v>5</v>
      </c>
    </row>
    <row r="326" spans="1:16" x14ac:dyDescent="0.3">
      <c r="A326" s="6">
        <v>10319</v>
      </c>
      <c r="B326" s="3" t="s">
        <v>658</v>
      </c>
      <c r="C326" s="3" t="s">
        <v>1310</v>
      </c>
      <c r="D326" s="3" t="s">
        <v>1311</v>
      </c>
      <c r="E326" s="3" t="s">
        <v>154</v>
      </c>
      <c r="F326" s="3" t="s">
        <v>209</v>
      </c>
      <c r="G326" s="3" t="s">
        <v>285</v>
      </c>
      <c r="H326" s="3" t="s">
        <v>92</v>
      </c>
      <c r="I326" s="4">
        <v>5</v>
      </c>
      <c r="J326" s="4">
        <v>481</v>
      </c>
      <c r="K326" s="4">
        <v>10</v>
      </c>
      <c r="L326" s="3" t="s">
        <v>1312</v>
      </c>
      <c r="M326" s="3" t="s">
        <v>126</v>
      </c>
      <c r="N326" s="3" t="s">
        <v>44</v>
      </c>
      <c r="O326" s="3" t="s">
        <v>45</v>
      </c>
      <c r="P326" s="8">
        <v>2</v>
      </c>
    </row>
    <row r="327" spans="1:16" x14ac:dyDescent="0.3">
      <c r="A327" s="6">
        <v>10320</v>
      </c>
      <c r="B327" s="3" t="s">
        <v>194</v>
      </c>
      <c r="C327" s="3" t="s">
        <v>195</v>
      </c>
      <c r="D327" s="3" t="s">
        <v>1526</v>
      </c>
      <c r="E327" s="3" t="s">
        <v>19</v>
      </c>
      <c r="F327" s="3" t="s">
        <v>265</v>
      </c>
      <c r="G327" s="3" t="s">
        <v>226</v>
      </c>
      <c r="H327" s="3" t="s">
        <v>22</v>
      </c>
      <c r="I327" s="4">
        <v>5</v>
      </c>
      <c r="J327" s="4">
        <v>1183</v>
      </c>
      <c r="K327" s="4">
        <v>5</v>
      </c>
      <c r="L327" s="3" t="s">
        <v>1527</v>
      </c>
      <c r="M327" s="3" t="s">
        <v>186</v>
      </c>
      <c r="N327" s="3" t="s">
        <v>25</v>
      </c>
      <c r="O327" s="3" t="s">
        <v>53</v>
      </c>
      <c r="P327" s="8">
        <v>3</v>
      </c>
    </row>
    <row r="328" spans="1:16" x14ac:dyDescent="0.3">
      <c r="A328" s="6">
        <v>10321</v>
      </c>
      <c r="B328" s="3" t="s">
        <v>795</v>
      </c>
      <c r="C328" s="3" t="s">
        <v>207</v>
      </c>
      <c r="D328" s="3"/>
      <c r="E328" s="3" t="s">
        <v>279</v>
      </c>
      <c r="F328" s="3" t="s">
        <v>776</v>
      </c>
      <c r="G328" s="3" t="s">
        <v>221</v>
      </c>
      <c r="H328" s="3" t="s">
        <v>83</v>
      </c>
      <c r="I328" s="4">
        <v>3</v>
      </c>
      <c r="J328" s="4">
        <v>31893</v>
      </c>
      <c r="K328" s="4">
        <v>5</v>
      </c>
      <c r="L328" s="3" t="s">
        <v>796</v>
      </c>
      <c r="M328" s="3" t="s">
        <v>24</v>
      </c>
      <c r="N328" s="3" t="s">
        <v>33</v>
      </c>
      <c r="O328" s="3" t="s">
        <v>71</v>
      </c>
      <c r="P328" s="8">
        <v>2</v>
      </c>
    </row>
    <row r="329" spans="1:16" x14ac:dyDescent="0.3">
      <c r="A329" s="5">
        <v>10322</v>
      </c>
      <c r="B329" s="1" t="s">
        <v>514</v>
      </c>
      <c r="C329" s="1" t="s">
        <v>788</v>
      </c>
      <c r="D329" s="1" t="s">
        <v>789</v>
      </c>
      <c r="E329" s="1" t="s">
        <v>738</v>
      </c>
      <c r="F329" s="1" t="s">
        <v>667</v>
      </c>
      <c r="G329" s="1" t="s">
        <v>112</v>
      </c>
      <c r="H329" s="1" t="s">
        <v>83</v>
      </c>
      <c r="I329" s="2">
        <v>3</v>
      </c>
      <c r="J329" s="2">
        <v>34236</v>
      </c>
      <c r="K329" s="2">
        <v>10</v>
      </c>
      <c r="L329" s="1" t="s">
        <v>790</v>
      </c>
      <c r="M329" s="1" t="s">
        <v>560</v>
      </c>
      <c r="N329" s="1" t="s">
        <v>33</v>
      </c>
      <c r="O329" s="1" t="s">
        <v>53</v>
      </c>
      <c r="P329" s="7">
        <v>4</v>
      </c>
    </row>
    <row r="330" spans="1:16" x14ac:dyDescent="0.3">
      <c r="A330" s="6">
        <v>10323</v>
      </c>
      <c r="B330" s="3" t="s">
        <v>1400</v>
      </c>
      <c r="C330" s="3" t="s">
        <v>1401</v>
      </c>
      <c r="D330" s="3" t="s">
        <v>1402</v>
      </c>
      <c r="E330" s="3" t="s">
        <v>38</v>
      </c>
      <c r="F330" s="3" t="s">
        <v>429</v>
      </c>
      <c r="G330" s="3" t="s">
        <v>226</v>
      </c>
      <c r="H330" s="3" t="s">
        <v>22</v>
      </c>
      <c r="I330" s="4">
        <v>3</v>
      </c>
      <c r="J330" s="4">
        <v>995</v>
      </c>
      <c r="K330" s="4"/>
      <c r="L330" s="3" t="s">
        <v>1403</v>
      </c>
      <c r="M330" s="3" t="s">
        <v>43</v>
      </c>
      <c r="N330" s="3" t="s">
        <v>413</v>
      </c>
      <c r="O330" s="3"/>
      <c r="P330" s="8">
        <v>5</v>
      </c>
    </row>
    <row r="331" spans="1:16" x14ac:dyDescent="0.3">
      <c r="A331" s="5">
        <v>10324</v>
      </c>
      <c r="B331" s="1" t="s">
        <v>822</v>
      </c>
      <c r="C331" s="1" t="s">
        <v>823</v>
      </c>
      <c r="D331" s="1" t="s">
        <v>972</v>
      </c>
      <c r="E331" s="1" t="s">
        <v>172</v>
      </c>
      <c r="F331" s="1" t="s">
        <v>150</v>
      </c>
      <c r="G331" s="1" t="s">
        <v>397</v>
      </c>
      <c r="H331" s="1" t="s">
        <v>143</v>
      </c>
      <c r="I331" s="2">
        <v>4</v>
      </c>
      <c r="J331" s="2">
        <v>164</v>
      </c>
      <c r="K331" s="2"/>
      <c r="L331" s="1" t="s">
        <v>844</v>
      </c>
      <c r="M331" s="1" t="s">
        <v>560</v>
      </c>
      <c r="N331" s="1" t="s">
        <v>33</v>
      </c>
      <c r="O331" s="1" t="s">
        <v>71</v>
      </c>
      <c r="P331" s="7">
        <v>1</v>
      </c>
    </row>
    <row r="332" spans="1:16" x14ac:dyDescent="0.3">
      <c r="A332" s="6">
        <v>10325</v>
      </c>
      <c r="B332" s="3" t="s">
        <v>1457</v>
      </c>
      <c r="C332" s="3" t="s">
        <v>195</v>
      </c>
      <c r="D332" s="3" t="s">
        <v>1458</v>
      </c>
      <c r="E332" s="3" t="s">
        <v>89</v>
      </c>
      <c r="F332" s="3" t="s">
        <v>90</v>
      </c>
      <c r="G332" s="3" t="s">
        <v>155</v>
      </c>
      <c r="H332" s="3" t="s">
        <v>92</v>
      </c>
      <c r="I332" s="4">
        <v>1</v>
      </c>
      <c r="J332" s="4">
        <v>648</v>
      </c>
      <c r="K332" s="4">
        <v>15</v>
      </c>
      <c r="L332" s="3" t="s">
        <v>1120</v>
      </c>
      <c r="M332" s="3" t="s">
        <v>157</v>
      </c>
      <c r="N332" s="3" t="s">
        <v>456</v>
      </c>
      <c r="O332" s="3" t="s">
        <v>53</v>
      </c>
      <c r="P332" s="8">
        <v>4</v>
      </c>
    </row>
    <row r="333" spans="1:16" x14ac:dyDescent="0.3">
      <c r="A333" s="5">
        <v>10326</v>
      </c>
      <c r="B333" s="1" t="s">
        <v>72</v>
      </c>
      <c r="C333" s="1" t="s">
        <v>324</v>
      </c>
      <c r="D333" s="1" t="s">
        <v>325</v>
      </c>
      <c r="E333" s="1" t="s">
        <v>184</v>
      </c>
      <c r="F333" s="1" t="s">
        <v>326</v>
      </c>
      <c r="G333" s="1" t="s">
        <v>327</v>
      </c>
      <c r="H333" s="1" t="s">
        <v>22</v>
      </c>
      <c r="I333" s="2">
        <v>3</v>
      </c>
      <c r="J333" s="2">
        <v>1003</v>
      </c>
      <c r="K333" s="2">
        <v>20</v>
      </c>
      <c r="L333" s="1" t="s">
        <v>328</v>
      </c>
      <c r="M333" s="1" t="s">
        <v>78</v>
      </c>
      <c r="N333" s="1" t="s">
        <v>25</v>
      </c>
      <c r="O333" s="1" t="s">
        <v>174</v>
      </c>
      <c r="P333" s="7">
        <v>3</v>
      </c>
    </row>
    <row r="334" spans="1:16" x14ac:dyDescent="0.3">
      <c r="A334" s="5">
        <v>10327</v>
      </c>
      <c r="B334" s="1" t="s">
        <v>773</v>
      </c>
      <c r="C334" s="1" t="s">
        <v>774</v>
      </c>
      <c r="D334" s="1" t="s">
        <v>775</v>
      </c>
      <c r="E334" s="1" t="s">
        <v>247</v>
      </c>
      <c r="F334" s="1" t="s">
        <v>776</v>
      </c>
      <c r="G334" s="1" t="s">
        <v>179</v>
      </c>
      <c r="H334" s="1" t="s">
        <v>60</v>
      </c>
      <c r="I334" s="2">
        <v>3</v>
      </c>
      <c r="J334" s="2">
        <v>482</v>
      </c>
      <c r="K334" s="2"/>
      <c r="L334" s="1" t="s">
        <v>777</v>
      </c>
      <c r="M334" s="1" t="s">
        <v>85</v>
      </c>
      <c r="N334" s="1" t="s">
        <v>119</v>
      </c>
      <c r="O334" s="1" t="s">
        <v>174</v>
      </c>
      <c r="P334" s="7">
        <v>3</v>
      </c>
    </row>
    <row r="335" spans="1:16" x14ac:dyDescent="0.3">
      <c r="A335" s="6">
        <v>10328</v>
      </c>
      <c r="B335" s="3" t="s">
        <v>716</v>
      </c>
      <c r="C335" s="3" t="s">
        <v>217</v>
      </c>
      <c r="D335" s="3" t="s">
        <v>1284</v>
      </c>
      <c r="E335" s="3" t="s">
        <v>1285</v>
      </c>
      <c r="F335" s="3" t="s">
        <v>75</v>
      </c>
      <c r="G335" s="3" t="s">
        <v>397</v>
      </c>
      <c r="H335" s="3" t="s">
        <v>143</v>
      </c>
      <c r="I335" s="4">
        <v>5</v>
      </c>
      <c r="J335" s="4">
        <v>432</v>
      </c>
      <c r="K335" s="4"/>
      <c r="L335" s="3" t="s">
        <v>1286</v>
      </c>
      <c r="M335" s="3" t="s">
        <v>32</v>
      </c>
      <c r="N335" s="3" t="s">
        <v>70</v>
      </c>
      <c r="O335" s="3" t="s">
        <v>53</v>
      </c>
      <c r="P335" s="8">
        <v>1</v>
      </c>
    </row>
    <row r="336" spans="1:16" x14ac:dyDescent="0.3">
      <c r="A336" s="5">
        <v>10329</v>
      </c>
      <c r="B336" s="1" t="s">
        <v>901</v>
      </c>
      <c r="C336" s="1" t="s">
        <v>902</v>
      </c>
      <c r="D336" s="1" t="s">
        <v>903</v>
      </c>
      <c r="E336" s="1" t="s">
        <v>904</v>
      </c>
      <c r="F336" s="1" t="s">
        <v>90</v>
      </c>
      <c r="G336" s="1" t="s">
        <v>151</v>
      </c>
      <c r="H336" s="1" t="s">
        <v>143</v>
      </c>
      <c r="I336" s="2">
        <v>5</v>
      </c>
      <c r="J336" s="2">
        <v>993</v>
      </c>
      <c r="K336" s="2">
        <v>5</v>
      </c>
      <c r="L336" s="1" t="s">
        <v>905</v>
      </c>
      <c r="M336" s="1" t="s">
        <v>24</v>
      </c>
      <c r="N336" s="1" t="s">
        <v>33</v>
      </c>
      <c r="O336" s="1" t="s">
        <v>174</v>
      </c>
      <c r="P336" s="7">
        <v>4</v>
      </c>
    </row>
    <row r="337" spans="1:16" x14ac:dyDescent="0.3">
      <c r="A337" s="6">
        <v>10330</v>
      </c>
      <c r="B337" s="3" t="s">
        <v>674</v>
      </c>
      <c r="C337" s="3" t="s">
        <v>675</v>
      </c>
      <c r="D337" s="3" t="s">
        <v>676</v>
      </c>
      <c r="E337" s="3" t="s">
        <v>677</v>
      </c>
      <c r="F337" s="3" t="s">
        <v>66</v>
      </c>
      <c r="G337" s="3" t="s">
        <v>678</v>
      </c>
      <c r="H337" s="3" t="s">
        <v>83</v>
      </c>
      <c r="I337" s="4">
        <v>1</v>
      </c>
      <c r="J337" s="4">
        <v>12158</v>
      </c>
      <c r="K337" s="4">
        <v>10</v>
      </c>
      <c r="L337" s="3" t="s">
        <v>679</v>
      </c>
      <c r="M337" s="3" t="s">
        <v>32</v>
      </c>
      <c r="N337" s="3" t="s">
        <v>70</v>
      </c>
      <c r="O337" s="3" t="s">
        <v>53</v>
      </c>
      <c r="P337" s="8">
        <v>1</v>
      </c>
    </row>
    <row r="338" spans="1:16" x14ac:dyDescent="0.3">
      <c r="A338" s="5">
        <v>10331</v>
      </c>
      <c r="B338" s="1" t="s">
        <v>1524</v>
      </c>
      <c r="C338" s="1" t="s">
        <v>819</v>
      </c>
      <c r="D338" s="1" t="s">
        <v>1536</v>
      </c>
      <c r="E338" s="1" t="s">
        <v>74</v>
      </c>
      <c r="F338" s="1" t="s">
        <v>75</v>
      </c>
      <c r="G338" s="1" t="s">
        <v>411</v>
      </c>
      <c r="H338" s="1" t="s">
        <v>83</v>
      </c>
      <c r="I338" s="2">
        <v>1</v>
      </c>
      <c r="J338" s="2">
        <v>52268</v>
      </c>
      <c r="K338" s="2">
        <v>15</v>
      </c>
      <c r="L338" s="1" t="s">
        <v>1537</v>
      </c>
      <c r="M338" s="1" t="s">
        <v>78</v>
      </c>
      <c r="N338" s="1" t="s">
        <v>70</v>
      </c>
      <c r="O338" s="1" t="s">
        <v>174</v>
      </c>
      <c r="P338" s="7">
        <v>3</v>
      </c>
    </row>
    <row r="339" spans="1:16" x14ac:dyDescent="0.3">
      <c r="A339" s="5">
        <v>10332</v>
      </c>
      <c r="B339" s="1" t="s">
        <v>187</v>
      </c>
      <c r="C339" s="1" t="s">
        <v>188</v>
      </c>
      <c r="D339" s="1" t="s">
        <v>910</v>
      </c>
      <c r="E339" s="1" t="s">
        <v>140</v>
      </c>
      <c r="F339" s="1" t="s">
        <v>259</v>
      </c>
      <c r="G339" s="1" t="s">
        <v>179</v>
      </c>
      <c r="H339" s="1" t="s">
        <v>60</v>
      </c>
      <c r="I339" s="2">
        <v>5</v>
      </c>
      <c r="J339" s="2">
        <v>493</v>
      </c>
      <c r="K339" s="2">
        <v>20</v>
      </c>
      <c r="L339" s="1" t="s">
        <v>294</v>
      </c>
      <c r="M339" s="1" t="s">
        <v>69</v>
      </c>
      <c r="N339" s="1" t="s">
        <v>33</v>
      </c>
      <c r="O339" s="1" t="s">
        <v>34</v>
      </c>
      <c r="P339" s="7">
        <v>5</v>
      </c>
    </row>
    <row r="340" spans="1:16" x14ac:dyDescent="0.3">
      <c r="A340" s="5">
        <v>10333</v>
      </c>
      <c r="B340" s="1" t="s">
        <v>722</v>
      </c>
      <c r="C340" s="1" t="s">
        <v>458</v>
      </c>
      <c r="D340" s="1" t="s">
        <v>1022</v>
      </c>
      <c r="E340" s="1" t="s">
        <v>343</v>
      </c>
      <c r="F340" s="1" t="s">
        <v>50</v>
      </c>
      <c r="G340" s="1" t="s">
        <v>40</v>
      </c>
      <c r="H340" s="1" t="s">
        <v>41</v>
      </c>
      <c r="I340" s="2">
        <v>3</v>
      </c>
      <c r="J340" s="2">
        <v>54</v>
      </c>
      <c r="K340" s="2">
        <v>5</v>
      </c>
      <c r="L340" s="1" t="s">
        <v>752</v>
      </c>
      <c r="M340" s="1" t="s">
        <v>126</v>
      </c>
      <c r="N340" s="1" t="s">
        <v>25</v>
      </c>
      <c r="O340" s="1" t="s">
        <v>45</v>
      </c>
      <c r="P340" s="7">
        <v>3</v>
      </c>
    </row>
    <row r="341" spans="1:16" x14ac:dyDescent="0.3">
      <c r="A341" s="5">
        <v>10334</v>
      </c>
      <c r="B341" s="1" t="s">
        <v>651</v>
      </c>
      <c r="C341" s="1" t="s">
        <v>320</v>
      </c>
      <c r="D341" s="1" t="s">
        <v>652</v>
      </c>
      <c r="E341" s="1" t="s">
        <v>172</v>
      </c>
      <c r="F341" s="1" t="s">
        <v>354</v>
      </c>
      <c r="G341" s="1" t="s">
        <v>231</v>
      </c>
      <c r="H341" s="1" t="s">
        <v>83</v>
      </c>
      <c r="I341" s="2">
        <v>4</v>
      </c>
      <c r="J341" s="2">
        <v>1782</v>
      </c>
      <c r="K341" s="2">
        <v>5</v>
      </c>
      <c r="L341" s="1" t="s">
        <v>653</v>
      </c>
      <c r="M341" s="1" t="s">
        <v>69</v>
      </c>
      <c r="N341" s="1" t="s">
        <v>25</v>
      </c>
      <c r="O341" s="1" t="s">
        <v>34</v>
      </c>
      <c r="P341" s="7">
        <v>5</v>
      </c>
    </row>
    <row r="342" spans="1:16" x14ac:dyDescent="0.3">
      <c r="A342" s="6">
        <v>10335</v>
      </c>
      <c r="B342" s="3" t="s">
        <v>722</v>
      </c>
      <c r="C342" s="3"/>
      <c r="D342" s="3" t="s">
        <v>934</v>
      </c>
      <c r="E342" s="3" t="s">
        <v>57</v>
      </c>
      <c r="F342" s="3" t="s">
        <v>58</v>
      </c>
      <c r="G342" s="3" t="s">
        <v>161</v>
      </c>
      <c r="H342" s="3" t="s">
        <v>83</v>
      </c>
      <c r="I342" s="4">
        <v>2</v>
      </c>
      <c r="J342" s="4">
        <v>26638</v>
      </c>
      <c r="K342" s="4">
        <v>5</v>
      </c>
      <c r="L342" s="3" t="s">
        <v>935</v>
      </c>
      <c r="M342" s="3" t="s">
        <v>43</v>
      </c>
      <c r="N342" s="3" t="s">
        <v>33</v>
      </c>
      <c r="O342" s="3" t="s">
        <v>174</v>
      </c>
      <c r="P342" s="8">
        <v>5</v>
      </c>
    </row>
    <row r="343" spans="1:16" x14ac:dyDescent="0.3">
      <c r="A343" s="5">
        <v>10335</v>
      </c>
      <c r="B343" s="1" t="s">
        <v>722</v>
      </c>
      <c r="C343" s="1"/>
      <c r="D343" s="1" t="s">
        <v>934</v>
      </c>
      <c r="E343" s="1" t="s">
        <v>57</v>
      </c>
      <c r="F343" s="1" t="s">
        <v>58</v>
      </c>
      <c r="G343" s="1" t="s">
        <v>161</v>
      </c>
      <c r="H343" s="1" t="s">
        <v>83</v>
      </c>
      <c r="I343" s="2">
        <v>2</v>
      </c>
      <c r="J343" s="2">
        <v>26638</v>
      </c>
      <c r="K343" s="2">
        <v>5</v>
      </c>
      <c r="L343" s="1" t="s">
        <v>935</v>
      </c>
      <c r="M343" s="1" t="s">
        <v>43</v>
      </c>
      <c r="N343" s="1" t="s">
        <v>33</v>
      </c>
      <c r="O343" s="1" t="s">
        <v>174</v>
      </c>
      <c r="P343" s="7">
        <v>5</v>
      </c>
    </row>
    <row r="344" spans="1:16" x14ac:dyDescent="0.3">
      <c r="A344" s="5">
        <v>10336</v>
      </c>
      <c r="B344" s="1" t="s">
        <v>514</v>
      </c>
      <c r="C344" s="1" t="s">
        <v>515</v>
      </c>
      <c r="D344" s="1" t="s">
        <v>1354</v>
      </c>
      <c r="E344" s="1" t="s">
        <v>258</v>
      </c>
      <c r="F344" s="1" t="s">
        <v>259</v>
      </c>
      <c r="G344" s="1" t="s">
        <v>407</v>
      </c>
      <c r="H344" s="1" t="s">
        <v>83</v>
      </c>
      <c r="I344" s="2">
        <v>5</v>
      </c>
      <c r="J344" s="2">
        <v>32209</v>
      </c>
      <c r="K344" s="2">
        <v>10</v>
      </c>
      <c r="L344" s="1" t="s">
        <v>1355</v>
      </c>
      <c r="M344" s="1" t="s">
        <v>78</v>
      </c>
      <c r="N344" s="1" t="s">
        <v>70</v>
      </c>
      <c r="O344" s="1" t="s">
        <v>53</v>
      </c>
      <c r="P344" s="7">
        <v>2</v>
      </c>
    </row>
    <row r="345" spans="1:16" x14ac:dyDescent="0.3">
      <c r="A345" s="5">
        <v>10337</v>
      </c>
      <c r="B345" s="1" t="s">
        <v>1470</v>
      </c>
      <c r="C345" s="1" t="s">
        <v>229</v>
      </c>
      <c r="D345" s="1" t="s">
        <v>1471</v>
      </c>
      <c r="E345" s="1" t="s">
        <v>38</v>
      </c>
      <c r="F345" s="1" t="s">
        <v>508</v>
      </c>
      <c r="G345" s="1" t="s">
        <v>226</v>
      </c>
      <c r="H345" s="1" t="s">
        <v>22</v>
      </c>
      <c r="I345" s="2">
        <v>2</v>
      </c>
      <c r="J345" s="2">
        <v>1785</v>
      </c>
      <c r="K345" s="2">
        <v>0</v>
      </c>
      <c r="L345" s="1" t="s">
        <v>1472</v>
      </c>
      <c r="M345" s="1" t="s">
        <v>85</v>
      </c>
      <c r="N345" s="1" t="s">
        <v>25</v>
      </c>
      <c r="O345" s="1" t="s">
        <v>34</v>
      </c>
      <c r="P345" s="7"/>
    </row>
    <row r="346" spans="1:16" x14ac:dyDescent="0.3">
      <c r="A346" s="6">
        <v>10338</v>
      </c>
      <c r="B346" s="3" t="s">
        <v>1430</v>
      </c>
      <c r="C346" s="3" t="s">
        <v>1122</v>
      </c>
      <c r="D346" s="3" t="s">
        <v>1431</v>
      </c>
      <c r="E346" s="3" t="s">
        <v>219</v>
      </c>
      <c r="F346" s="3" t="s">
        <v>220</v>
      </c>
      <c r="G346" s="3" t="s">
        <v>155</v>
      </c>
      <c r="H346" s="3" t="s">
        <v>92</v>
      </c>
      <c r="I346" s="4">
        <v>3</v>
      </c>
      <c r="J346" s="4">
        <v>880</v>
      </c>
      <c r="K346" s="4">
        <v>20</v>
      </c>
      <c r="L346" s="3" t="s">
        <v>1256</v>
      </c>
      <c r="M346" s="3" t="s">
        <v>85</v>
      </c>
      <c r="N346" s="3" t="s">
        <v>25</v>
      </c>
      <c r="O346" s="3" t="s">
        <v>45</v>
      </c>
      <c r="P346" s="8">
        <v>2</v>
      </c>
    </row>
    <row r="347" spans="1:16" x14ac:dyDescent="0.3">
      <c r="A347" s="6">
        <v>10339</v>
      </c>
      <c r="B347" s="3" t="s">
        <v>946</v>
      </c>
      <c r="C347" s="3" t="s">
        <v>871</v>
      </c>
      <c r="D347" s="3" t="s">
        <v>947</v>
      </c>
      <c r="E347" s="3" t="s">
        <v>197</v>
      </c>
      <c r="F347" s="3" t="s">
        <v>386</v>
      </c>
      <c r="G347" s="3" t="s">
        <v>493</v>
      </c>
      <c r="H347" s="3" t="s">
        <v>92</v>
      </c>
      <c r="I347" s="4">
        <v>5</v>
      </c>
      <c r="J347" s="4">
        <v>634</v>
      </c>
      <c r="K347" s="4">
        <v>15</v>
      </c>
      <c r="L347" s="3" t="s">
        <v>948</v>
      </c>
      <c r="M347" s="3" t="s">
        <v>186</v>
      </c>
      <c r="N347" s="3" t="s">
        <v>25</v>
      </c>
      <c r="O347" s="3" t="s">
        <v>34</v>
      </c>
      <c r="P347" s="8">
        <v>4</v>
      </c>
    </row>
    <row r="348" spans="1:16" x14ac:dyDescent="0.3">
      <c r="A348" s="5">
        <v>10340</v>
      </c>
      <c r="B348" s="1" t="s">
        <v>975</v>
      </c>
      <c r="C348" s="1" t="s">
        <v>17</v>
      </c>
      <c r="D348" s="1"/>
      <c r="E348" s="1" t="s">
        <v>74</v>
      </c>
      <c r="F348" s="1" t="s">
        <v>596</v>
      </c>
      <c r="G348" s="1" t="s">
        <v>179</v>
      </c>
      <c r="H348" s="1" t="s">
        <v>60</v>
      </c>
      <c r="I348" s="2">
        <v>2</v>
      </c>
      <c r="J348" s="2">
        <v>212</v>
      </c>
      <c r="K348" s="2">
        <v>5</v>
      </c>
      <c r="L348" s="1" t="s">
        <v>597</v>
      </c>
      <c r="M348" s="1" t="s">
        <v>24</v>
      </c>
      <c r="N348" s="1" t="s">
        <v>25</v>
      </c>
      <c r="O348" s="1" t="s">
        <v>53</v>
      </c>
      <c r="P348" s="7">
        <v>3</v>
      </c>
    </row>
    <row r="349" spans="1:16" x14ac:dyDescent="0.3">
      <c r="A349" s="6">
        <v>10341</v>
      </c>
      <c r="B349" s="3" t="s">
        <v>95</v>
      </c>
      <c r="C349" s="3" t="s">
        <v>87</v>
      </c>
      <c r="D349" s="3" t="s">
        <v>96</v>
      </c>
      <c r="E349" s="3" t="s">
        <v>97</v>
      </c>
      <c r="F349" s="3" t="s">
        <v>98</v>
      </c>
      <c r="G349" s="3" t="s">
        <v>99</v>
      </c>
      <c r="H349" s="3" t="s">
        <v>92</v>
      </c>
      <c r="I349" s="4">
        <v>5</v>
      </c>
      <c r="J349" s="4">
        <v>4232</v>
      </c>
      <c r="K349" s="4">
        <v>0</v>
      </c>
      <c r="L349" s="3" t="s">
        <v>100</v>
      </c>
      <c r="M349" s="3" t="s">
        <v>101</v>
      </c>
      <c r="N349" s="3" t="s">
        <v>70</v>
      </c>
      <c r="O349" s="3" t="s">
        <v>34</v>
      </c>
      <c r="P349" s="8">
        <v>4</v>
      </c>
    </row>
    <row r="350" spans="1:16" x14ac:dyDescent="0.3">
      <c r="A350" s="5">
        <v>10342</v>
      </c>
      <c r="B350" s="1" t="s">
        <v>1176</v>
      </c>
      <c r="C350" s="1" t="s">
        <v>1177</v>
      </c>
      <c r="D350" s="1" t="s">
        <v>1178</v>
      </c>
      <c r="E350" s="1" t="s">
        <v>74</v>
      </c>
      <c r="F350" s="1" t="s">
        <v>75</v>
      </c>
      <c r="G350" s="1" t="s">
        <v>860</v>
      </c>
      <c r="H350" s="1" t="s">
        <v>83</v>
      </c>
      <c r="I350" s="2">
        <v>3</v>
      </c>
      <c r="J350" s="2">
        <v>25650</v>
      </c>
      <c r="K350" s="2">
        <v>0</v>
      </c>
      <c r="L350" s="1" t="s">
        <v>1179</v>
      </c>
      <c r="M350" s="1" t="s">
        <v>24</v>
      </c>
      <c r="N350" s="1" t="s">
        <v>70</v>
      </c>
      <c r="O350" s="1" t="s">
        <v>53</v>
      </c>
      <c r="P350" s="7">
        <v>2</v>
      </c>
    </row>
    <row r="351" spans="1:16" x14ac:dyDescent="0.3">
      <c r="A351" s="6">
        <v>10343</v>
      </c>
      <c r="B351" s="3" t="s">
        <v>628</v>
      </c>
      <c r="C351" s="3" t="s">
        <v>629</v>
      </c>
      <c r="D351" s="3" t="s">
        <v>630</v>
      </c>
      <c r="E351" s="3" t="s">
        <v>253</v>
      </c>
      <c r="F351" s="3" t="s">
        <v>50</v>
      </c>
      <c r="G351" s="3" t="s">
        <v>280</v>
      </c>
      <c r="H351" s="3" t="s">
        <v>41</v>
      </c>
      <c r="I351" s="4">
        <v>5</v>
      </c>
      <c r="J351" s="4">
        <v>83</v>
      </c>
      <c r="K351" s="4"/>
      <c r="L351" s="3" t="s">
        <v>232</v>
      </c>
      <c r="M351" s="3" t="s">
        <v>69</v>
      </c>
      <c r="N351" s="3" t="s">
        <v>119</v>
      </c>
      <c r="O351" s="3" t="s">
        <v>45</v>
      </c>
      <c r="P351" s="8">
        <v>2</v>
      </c>
    </row>
    <row r="352" spans="1:16" x14ac:dyDescent="0.3">
      <c r="A352" s="5">
        <v>10344</v>
      </c>
      <c r="B352" s="1" t="s">
        <v>1014</v>
      </c>
      <c r="C352" s="1" t="s">
        <v>788</v>
      </c>
      <c r="D352" s="1" t="s">
        <v>1237</v>
      </c>
      <c r="E352" s="1" t="s">
        <v>269</v>
      </c>
      <c r="F352" s="1" t="s">
        <v>191</v>
      </c>
      <c r="G352" s="1" t="s">
        <v>411</v>
      </c>
      <c r="H352" s="1" t="s">
        <v>83</v>
      </c>
      <c r="I352" s="2">
        <v>2</v>
      </c>
      <c r="J352" s="2">
        <v>48961</v>
      </c>
      <c r="K352" s="2">
        <v>15</v>
      </c>
      <c r="L352" s="1" t="s">
        <v>1238</v>
      </c>
      <c r="M352" s="1" t="s">
        <v>94</v>
      </c>
      <c r="N352" s="1" t="s">
        <v>25</v>
      </c>
      <c r="O352" s="1" t="s">
        <v>45</v>
      </c>
      <c r="P352" s="7">
        <v>3</v>
      </c>
    </row>
    <row r="353" spans="1:16" x14ac:dyDescent="0.3">
      <c r="A353" s="5">
        <v>10344</v>
      </c>
      <c r="B353" s="1" t="s">
        <v>1014</v>
      </c>
      <c r="C353" s="1" t="s">
        <v>788</v>
      </c>
      <c r="D353" s="1" t="s">
        <v>1237</v>
      </c>
      <c r="E353" s="1" t="s">
        <v>269</v>
      </c>
      <c r="F353" s="1" t="s">
        <v>191</v>
      </c>
      <c r="G353" s="1" t="s">
        <v>411</v>
      </c>
      <c r="H353" s="1" t="s">
        <v>83</v>
      </c>
      <c r="I353" s="2">
        <v>2</v>
      </c>
      <c r="J353" s="2">
        <v>48961</v>
      </c>
      <c r="K353" s="2">
        <v>15</v>
      </c>
      <c r="L353" s="1" t="s">
        <v>1238</v>
      </c>
      <c r="M353" s="1" t="s">
        <v>94</v>
      </c>
      <c r="N353" s="1" t="s">
        <v>25</v>
      </c>
      <c r="O353" s="1" t="s">
        <v>45</v>
      </c>
      <c r="P353" s="7">
        <v>3</v>
      </c>
    </row>
    <row r="354" spans="1:16" x14ac:dyDescent="0.3">
      <c r="A354" s="5">
        <v>10345</v>
      </c>
      <c r="B354" s="1" t="s">
        <v>1087</v>
      </c>
      <c r="C354" s="1" t="s">
        <v>1017</v>
      </c>
      <c r="D354" s="1" t="s">
        <v>1515</v>
      </c>
      <c r="E354" s="1" t="s">
        <v>558</v>
      </c>
      <c r="F354" s="1" t="s">
        <v>386</v>
      </c>
      <c r="G354" s="1" t="s">
        <v>368</v>
      </c>
      <c r="H354" s="1" t="s">
        <v>22</v>
      </c>
      <c r="I354" s="2">
        <v>4</v>
      </c>
      <c r="J354" s="2">
        <v>1037</v>
      </c>
      <c r="K354" s="2"/>
      <c r="L354" s="1" t="s">
        <v>1516</v>
      </c>
      <c r="M354" s="1" t="s">
        <v>43</v>
      </c>
      <c r="N354" s="1" t="s">
        <v>25</v>
      </c>
      <c r="O354" s="1" t="s">
        <v>45</v>
      </c>
      <c r="P354" s="7"/>
    </row>
    <row r="355" spans="1:16" x14ac:dyDescent="0.3">
      <c r="A355" s="5">
        <v>10346</v>
      </c>
      <c r="B355" s="1" t="s">
        <v>1485</v>
      </c>
      <c r="C355" s="1" t="s">
        <v>521</v>
      </c>
      <c r="D355" s="1" t="s">
        <v>1486</v>
      </c>
      <c r="E355" s="1" t="s">
        <v>317</v>
      </c>
      <c r="F355" s="1" t="s">
        <v>58</v>
      </c>
      <c r="G355" s="1" t="s">
        <v>533</v>
      </c>
      <c r="H355" s="1" t="s">
        <v>22</v>
      </c>
      <c r="I355" s="2">
        <v>2</v>
      </c>
      <c r="J355" s="2">
        <v>619</v>
      </c>
      <c r="K355" s="2">
        <v>0</v>
      </c>
      <c r="L355" s="1" t="s">
        <v>1487</v>
      </c>
      <c r="M355" s="1" t="s">
        <v>186</v>
      </c>
      <c r="N355" s="1" t="s">
        <v>33</v>
      </c>
      <c r="O355" s="1" t="s">
        <v>45</v>
      </c>
      <c r="P355" s="7">
        <v>3</v>
      </c>
    </row>
    <row r="356" spans="1:16" x14ac:dyDescent="0.3">
      <c r="A356" s="5">
        <v>10347</v>
      </c>
      <c r="B356" s="1" t="s">
        <v>394</v>
      </c>
      <c r="C356" s="1" t="s">
        <v>481</v>
      </c>
      <c r="D356" s="1" t="s">
        <v>482</v>
      </c>
      <c r="E356" s="1" t="s">
        <v>371</v>
      </c>
      <c r="F356" s="1" t="s">
        <v>98</v>
      </c>
      <c r="G356" s="1" t="s">
        <v>179</v>
      </c>
      <c r="H356" s="1" t="s">
        <v>60</v>
      </c>
      <c r="I356" s="2">
        <v>2</v>
      </c>
      <c r="J356" s="2">
        <v>752</v>
      </c>
      <c r="K356" s="2">
        <v>0</v>
      </c>
      <c r="L356" s="1" t="s">
        <v>483</v>
      </c>
      <c r="M356" s="1" t="s">
        <v>43</v>
      </c>
      <c r="N356" s="1" t="s">
        <v>70</v>
      </c>
      <c r="O356" s="1" t="s">
        <v>45</v>
      </c>
      <c r="P356" s="7">
        <v>2</v>
      </c>
    </row>
    <row r="357" spans="1:16" x14ac:dyDescent="0.3">
      <c r="A357" s="6">
        <v>10348</v>
      </c>
      <c r="B357" s="3" t="s">
        <v>431</v>
      </c>
      <c r="C357" s="3" t="s">
        <v>432</v>
      </c>
      <c r="D357" s="3" t="s">
        <v>1117</v>
      </c>
      <c r="E357" s="3" t="s">
        <v>572</v>
      </c>
      <c r="F357" s="3" t="s">
        <v>50</v>
      </c>
      <c r="G357" s="3" t="s">
        <v>151</v>
      </c>
      <c r="H357" s="3" t="s">
        <v>143</v>
      </c>
      <c r="I357" s="4">
        <v>1</v>
      </c>
      <c r="J357" s="4">
        <v>863</v>
      </c>
      <c r="K357" s="4"/>
      <c r="L357" s="3" t="s">
        <v>1118</v>
      </c>
      <c r="M357" s="3" t="s">
        <v>101</v>
      </c>
      <c r="N357" s="3" t="s">
        <v>25</v>
      </c>
      <c r="O357" s="3" t="s">
        <v>45</v>
      </c>
      <c r="P357" s="8">
        <v>1</v>
      </c>
    </row>
    <row r="358" spans="1:16" x14ac:dyDescent="0.3">
      <c r="A358" s="5">
        <v>10349</v>
      </c>
      <c r="B358" s="1" t="s">
        <v>1363</v>
      </c>
      <c r="C358" s="1" t="s">
        <v>871</v>
      </c>
      <c r="D358" s="1" t="s">
        <v>1364</v>
      </c>
      <c r="E358" s="1" t="s">
        <v>97</v>
      </c>
      <c r="F358" s="1" t="s">
        <v>98</v>
      </c>
      <c r="G358" s="1" t="s">
        <v>474</v>
      </c>
      <c r="H358" s="1" t="s">
        <v>143</v>
      </c>
      <c r="I358" s="2">
        <v>3</v>
      </c>
      <c r="J358" s="2">
        <v>798</v>
      </c>
      <c r="K358" s="2">
        <v>20</v>
      </c>
      <c r="L358" s="1" t="s">
        <v>1365</v>
      </c>
      <c r="M358" s="1" t="s">
        <v>94</v>
      </c>
      <c r="N358" s="1" t="s">
        <v>25</v>
      </c>
      <c r="O358" s="1" t="s">
        <v>34</v>
      </c>
      <c r="P358" s="7">
        <v>3</v>
      </c>
    </row>
    <row r="359" spans="1:16" x14ac:dyDescent="0.3">
      <c r="A359" s="5">
        <v>10350</v>
      </c>
      <c r="B359" s="1" t="s">
        <v>669</v>
      </c>
      <c r="C359" s="1" t="s">
        <v>670</v>
      </c>
      <c r="D359" s="1" t="s">
        <v>1209</v>
      </c>
      <c r="E359" s="1" t="s">
        <v>253</v>
      </c>
      <c r="F359" s="1" t="s">
        <v>274</v>
      </c>
      <c r="G359" s="1" t="s">
        <v>460</v>
      </c>
      <c r="H359" s="1" t="s">
        <v>92</v>
      </c>
      <c r="I359" s="2">
        <v>3</v>
      </c>
      <c r="J359" s="2">
        <v>803</v>
      </c>
      <c r="K359" s="2">
        <v>10</v>
      </c>
      <c r="L359" s="1" t="s">
        <v>1210</v>
      </c>
      <c r="M359" s="1" t="s">
        <v>78</v>
      </c>
      <c r="N359" s="1" t="s">
        <v>108</v>
      </c>
      <c r="O359" s="1" t="s">
        <v>53</v>
      </c>
      <c r="P359" s="7">
        <v>4</v>
      </c>
    </row>
    <row r="360" spans="1:16" x14ac:dyDescent="0.3">
      <c r="A360" s="6">
        <v>10351</v>
      </c>
      <c r="B360" s="3" t="s">
        <v>839</v>
      </c>
      <c r="C360" s="3"/>
      <c r="D360" s="3" t="s">
        <v>840</v>
      </c>
      <c r="E360" s="3" t="s">
        <v>701</v>
      </c>
      <c r="F360" s="3" t="s">
        <v>98</v>
      </c>
      <c r="G360" s="3" t="s">
        <v>280</v>
      </c>
      <c r="H360" s="3" t="s">
        <v>41</v>
      </c>
      <c r="I360" s="4">
        <v>4</v>
      </c>
      <c r="J360" s="4">
        <v>164</v>
      </c>
      <c r="K360" s="4"/>
      <c r="L360" s="3" t="s">
        <v>841</v>
      </c>
      <c r="M360" s="3" t="s">
        <v>69</v>
      </c>
      <c r="N360" s="3" t="s">
        <v>70</v>
      </c>
      <c r="O360" s="3" t="s">
        <v>45</v>
      </c>
      <c r="P360" s="8"/>
    </row>
    <row r="361" spans="1:16" x14ac:dyDescent="0.3">
      <c r="A361" s="5">
        <v>10352</v>
      </c>
      <c r="B361" s="1" t="s">
        <v>1001</v>
      </c>
      <c r="C361" s="1" t="s">
        <v>566</v>
      </c>
      <c r="D361" s="1" t="s">
        <v>1002</v>
      </c>
      <c r="E361" s="1" t="s">
        <v>1003</v>
      </c>
      <c r="F361" s="1" t="s">
        <v>259</v>
      </c>
      <c r="G361" s="1" t="s">
        <v>1004</v>
      </c>
      <c r="H361" s="1" t="s">
        <v>41</v>
      </c>
      <c r="I361" s="2">
        <v>2</v>
      </c>
      <c r="J361" s="2">
        <v>242</v>
      </c>
      <c r="K361" s="2">
        <v>20</v>
      </c>
      <c r="L361" s="1" t="s">
        <v>540</v>
      </c>
      <c r="M361" s="1" t="s">
        <v>126</v>
      </c>
      <c r="N361" s="1" t="s">
        <v>456</v>
      </c>
      <c r="O361" s="1" t="s">
        <v>53</v>
      </c>
      <c r="P361" s="7">
        <v>1</v>
      </c>
    </row>
    <row r="362" spans="1:16" x14ac:dyDescent="0.3">
      <c r="A362" s="6">
        <v>10353</v>
      </c>
      <c r="B362" s="3" t="s">
        <v>364</v>
      </c>
      <c r="C362" s="3" t="s">
        <v>365</v>
      </c>
      <c r="D362" s="3" t="s">
        <v>377</v>
      </c>
      <c r="E362" s="3" t="s">
        <v>149</v>
      </c>
      <c r="F362" s="3" t="s">
        <v>220</v>
      </c>
      <c r="G362" s="3" t="s">
        <v>327</v>
      </c>
      <c r="H362" s="3" t="s">
        <v>22</v>
      </c>
      <c r="I362" s="4">
        <v>4</v>
      </c>
      <c r="J362" s="4">
        <v>852</v>
      </c>
      <c r="K362" s="4">
        <v>0</v>
      </c>
      <c r="L362" s="3" t="s">
        <v>378</v>
      </c>
      <c r="M362" s="3" t="s">
        <v>69</v>
      </c>
      <c r="N362" s="3" t="s">
        <v>25</v>
      </c>
      <c r="O362" s="3"/>
      <c r="P362" s="8">
        <v>3</v>
      </c>
    </row>
    <row r="363" spans="1:16" x14ac:dyDescent="0.3">
      <c r="A363" s="5">
        <v>10354</v>
      </c>
      <c r="B363" s="1" t="s">
        <v>1211</v>
      </c>
      <c r="C363" s="1" t="s">
        <v>365</v>
      </c>
      <c r="D363" s="1" t="s">
        <v>1212</v>
      </c>
      <c r="E363" s="1" t="s">
        <v>273</v>
      </c>
      <c r="F363" s="1" t="s">
        <v>265</v>
      </c>
      <c r="G363" s="1" t="s">
        <v>242</v>
      </c>
      <c r="H363" s="1" t="s">
        <v>83</v>
      </c>
      <c r="I363" s="2">
        <v>2</v>
      </c>
      <c r="J363" s="2">
        <v>29618</v>
      </c>
      <c r="K363" s="2">
        <v>15</v>
      </c>
      <c r="L363" s="1" t="s">
        <v>715</v>
      </c>
      <c r="M363" s="1" t="s">
        <v>94</v>
      </c>
      <c r="N363" s="1" t="s">
        <v>70</v>
      </c>
      <c r="O363" s="1" t="s">
        <v>45</v>
      </c>
      <c r="P363" s="7">
        <v>1</v>
      </c>
    </row>
    <row r="364" spans="1:16" x14ac:dyDescent="0.3">
      <c r="A364" s="5">
        <v>10355</v>
      </c>
      <c r="B364" s="1" t="s">
        <v>422</v>
      </c>
      <c r="C364" s="1" t="s">
        <v>315</v>
      </c>
      <c r="D364" s="1" t="s">
        <v>423</v>
      </c>
      <c r="E364" s="1" t="s">
        <v>308</v>
      </c>
      <c r="F364" s="1" t="s">
        <v>117</v>
      </c>
      <c r="G364" s="1" t="s">
        <v>106</v>
      </c>
      <c r="H364" s="1" t="s">
        <v>83</v>
      </c>
      <c r="I364" s="2">
        <v>5</v>
      </c>
      <c r="J364" s="2">
        <v>10725</v>
      </c>
      <c r="K364" s="2">
        <v>20</v>
      </c>
      <c r="L364" s="1" t="s">
        <v>424</v>
      </c>
      <c r="M364" s="1" t="s">
        <v>94</v>
      </c>
      <c r="N364" s="1" t="s">
        <v>25</v>
      </c>
      <c r="O364" s="1" t="s">
        <v>71</v>
      </c>
      <c r="P364" s="7">
        <v>2</v>
      </c>
    </row>
    <row r="365" spans="1:16" x14ac:dyDescent="0.3">
      <c r="A365" s="6">
        <v>10356</v>
      </c>
      <c r="B365" s="3" t="s">
        <v>883</v>
      </c>
      <c r="C365" s="3"/>
      <c r="D365" s="3" t="s">
        <v>1361</v>
      </c>
      <c r="E365" s="3" t="s">
        <v>273</v>
      </c>
      <c r="F365" s="3" t="s">
        <v>50</v>
      </c>
      <c r="G365" s="3" t="s">
        <v>397</v>
      </c>
      <c r="H365" s="3" t="s">
        <v>143</v>
      </c>
      <c r="I365" s="4">
        <v>5</v>
      </c>
      <c r="J365" s="4">
        <v>272</v>
      </c>
      <c r="K365" s="4">
        <v>0</v>
      </c>
      <c r="L365" s="3" t="s">
        <v>1362</v>
      </c>
      <c r="M365" s="3" t="s">
        <v>145</v>
      </c>
      <c r="N365" s="3" t="s">
        <v>33</v>
      </c>
      <c r="O365" s="3" t="s">
        <v>174</v>
      </c>
      <c r="P365" s="8">
        <v>3</v>
      </c>
    </row>
    <row r="366" spans="1:16" x14ac:dyDescent="0.3">
      <c r="A366" s="5">
        <v>10357</v>
      </c>
      <c r="B366" s="1" t="s">
        <v>1358</v>
      </c>
      <c r="C366" s="1"/>
      <c r="D366" s="1" t="s">
        <v>1359</v>
      </c>
      <c r="E366" s="1" t="s">
        <v>123</v>
      </c>
      <c r="F366" s="1" t="s">
        <v>90</v>
      </c>
      <c r="G366" s="1" t="s">
        <v>151</v>
      </c>
      <c r="H366" s="1" t="s">
        <v>143</v>
      </c>
      <c r="I366" s="2">
        <v>3</v>
      </c>
      <c r="J366" s="2">
        <v>854</v>
      </c>
      <c r="K366" s="2"/>
      <c r="L366" s="1" t="s">
        <v>1360</v>
      </c>
      <c r="M366" s="1" t="s">
        <v>24</v>
      </c>
      <c r="N366" s="1" t="s">
        <v>25</v>
      </c>
      <c r="O366" s="1" t="s">
        <v>53</v>
      </c>
      <c r="P366" s="7">
        <v>1</v>
      </c>
    </row>
    <row r="367" spans="1:16" x14ac:dyDescent="0.3">
      <c r="A367" s="6">
        <v>10357</v>
      </c>
      <c r="B367" s="3" t="s">
        <v>1358</v>
      </c>
      <c r="C367" s="3"/>
      <c r="D367" s="3" t="s">
        <v>1359</v>
      </c>
      <c r="E367" s="3" t="s">
        <v>123</v>
      </c>
      <c r="F367" s="3" t="s">
        <v>90</v>
      </c>
      <c r="G367" s="3" t="s">
        <v>151</v>
      </c>
      <c r="H367" s="3" t="s">
        <v>143</v>
      </c>
      <c r="I367" s="4">
        <v>3</v>
      </c>
      <c r="J367" s="4">
        <v>854</v>
      </c>
      <c r="K367" s="4"/>
      <c r="L367" s="3" t="s">
        <v>1360</v>
      </c>
      <c r="M367" s="3" t="s">
        <v>24</v>
      </c>
      <c r="N367" s="3" t="s">
        <v>25</v>
      </c>
      <c r="O367" s="3" t="s">
        <v>53</v>
      </c>
      <c r="P367" s="8">
        <v>1</v>
      </c>
    </row>
    <row r="368" spans="1:16" x14ac:dyDescent="0.3">
      <c r="A368" s="5">
        <v>10358</v>
      </c>
      <c r="B368" s="1" t="s">
        <v>244</v>
      </c>
      <c r="C368" s="1" t="s">
        <v>245</v>
      </c>
      <c r="D368" s="1" t="s">
        <v>1115</v>
      </c>
      <c r="E368" s="1" t="s">
        <v>57</v>
      </c>
      <c r="F368" s="1" t="s">
        <v>50</v>
      </c>
      <c r="G368" s="1" t="s">
        <v>533</v>
      </c>
      <c r="H368" s="1" t="s">
        <v>22</v>
      </c>
      <c r="I368" s="2">
        <v>5</v>
      </c>
      <c r="J368" s="2">
        <v>802</v>
      </c>
      <c r="K368" s="2">
        <v>10</v>
      </c>
      <c r="L368" s="1" t="s">
        <v>1116</v>
      </c>
      <c r="M368" s="1" t="s">
        <v>43</v>
      </c>
      <c r="N368" s="1" t="s">
        <v>25</v>
      </c>
      <c r="O368" s="1" t="s">
        <v>174</v>
      </c>
      <c r="P368" s="7">
        <v>4</v>
      </c>
    </row>
    <row r="369" spans="1:16" x14ac:dyDescent="0.3">
      <c r="A369" s="6">
        <v>10359</v>
      </c>
      <c r="B369" s="3" t="s">
        <v>874</v>
      </c>
      <c r="C369" s="3" t="s">
        <v>1145</v>
      </c>
      <c r="D369" s="3" t="s">
        <v>1146</v>
      </c>
      <c r="E369" s="3" t="s">
        <v>38</v>
      </c>
      <c r="F369" s="3" t="s">
        <v>453</v>
      </c>
      <c r="G369" s="3" t="s">
        <v>407</v>
      </c>
      <c r="H369" s="3" t="s">
        <v>83</v>
      </c>
      <c r="I369" s="4">
        <v>5</v>
      </c>
      <c r="J369" s="4">
        <v>19420</v>
      </c>
      <c r="K369" s="4"/>
      <c r="L369" s="3" t="s">
        <v>1147</v>
      </c>
      <c r="M369" s="3" t="s">
        <v>85</v>
      </c>
      <c r="N369" s="3" t="s">
        <v>33</v>
      </c>
      <c r="O369" s="3" t="s">
        <v>34</v>
      </c>
      <c r="P369" s="8">
        <v>4</v>
      </c>
    </row>
    <row r="370" spans="1:16" x14ac:dyDescent="0.3">
      <c r="A370" s="5">
        <v>10360</v>
      </c>
      <c r="B370" s="1" t="s">
        <v>603</v>
      </c>
      <c r="C370" s="1" t="s">
        <v>389</v>
      </c>
      <c r="D370" s="1" t="s">
        <v>604</v>
      </c>
      <c r="E370" s="1" t="s">
        <v>57</v>
      </c>
      <c r="F370" s="1" t="s">
        <v>20</v>
      </c>
      <c r="G370" s="1" t="s">
        <v>248</v>
      </c>
      <c r="H370" s="1" t="s">
        <v>41</v>
      </c>
      <c r="I370" s="2">
        <v>1</v>
      </c>
      <c r="J370" s="2">
        <v>107</v>
      </c>
      <c r="K370" s="2">
        <v>0</v>
      </c>
      <c r="L370" s="1" t="s">
        <v>605</v>
      </c>
      <c r="M370" s="1" t="s">
        <v>200</v>
      </c>
      <c r="N370" s="1" t="s">
        <v>70</v>
      </c>
      <c r="O370" s="1" t="s">
        <v>71</v>
      </c>
      <c r="P370" s="7"/>
    </row>
    <row r="371" spans="1:16" x14ac:dyDescent="0.3">
      <c r="A371" s="5">
        <v>10361</v>
      </c>
      <c r="B371" s="1" t="s">
        <v>785</v>
      </c>
      <c r="C371" s="1" t="s">
        <v>774</v>
      </c>
      <c r="D371" s="1" t="s">
        <v>1459</v>
      </c>
      <c r="E371" s="1" t="s">
        <v>111</v>
      </c>
      <c r="F371" s="1" t="s">
        <v>111</v>
      </c>
      <c r="G371" s="1" t="s">
        <v>322</v>
      </c>
      <c r="H371" s="1" t="s">
        <v>83</v>
      </c>
      <c r="I371" s="2">
        <v>2</v>
      </c>
      <c r="J371" s="2">
        <v>2737</v>
      </c>
      <c r="K371" s="2"/>
      <c r="L371" s="1" t="s">
        <v>1460</v>
      </c>
      <c r="M371" s="1" t="s">
        <v>43</v>
      </c>
      <c r="N371" s="1" t="s">
        <v>25</v>
      </c>
      <c r="O371" s="1" t="s">
        <v>45</v>
      </c>
      <c r="P371" s="7">
        <v>4</v>
      </c>
    </row>
    <row r="372" spans="1:16" x14ac:dyDescent="0.3">
      <c r="A372" s="5">
        <v>10362</v>
      </c>
      <c r="B372" s="1" t="s">
        <v>1635</v>
      </c>
      <c r="C372" s="1" t="s">
        <v>525</v>
      </c>
      <c r="D372" s="1" t="s">
        <v>1636</v>
      </c>
      <c r="E372" s="1" t="s">
        <v>57</v>
      </c>
      <c r="F372" s="1" t="s">
        <v>50</v>
      </c>
      <c r="G372" s="1" t="s">
        <v>124</v>
      </c>
      <c r="H372" s="1" t="s">
        <v>41</v>
      </c>
      <c r="I372" s="2">
        <v>2</v>
      </c>
      <c r="J372" s="2">
        <v>49</v>
      </c>
      <c r="K372" s="2"/>
      <c r="L372" s="1" t="s">
        <v>1637</v>
      </c>
      <c r="M372" s="1" t="s">
        <v>94</v>
      </c>
      <c r="N372" s="1" t="s">
        <v>25</v>
      </c>
      <c r="O372" s="1" t="s">
        <v>71</v>
      </c>
      <c r="P372" s="7">
        <v>2</v>
      </c>
    </row>
    <row r="373" spans="1:16" x14ac:dyDescent="0.3">
      <c r="A373" s="5">
        <v>10363</v>
      </c>
      <c r="B373" s="1" t="s">
        <v>617</v>
      </c>
      <c r="C373" s="1" t="s">
        <v>618</v>
      </c>
      <c r="D373" s="1" t="s">
        <v>862</v>
      </c>
      <c r="E373" s="1" t="s">
        <v>38</v>
      </c>
      <c r="F373" s="1" t="s">
        <v>39</v>
      </c>
      <c r="G373" s="1" t="s">
        <v>231</v>
      </c>
      <c r="H373" s="1" t="s">
        <v>83</v>
      </c>
      <c r="I373" s="2">
        <v>1</v>
      </c>
      <c r="J373" s="2">
        <v>2174</v>
      </c>
      <c r="K373" s="2"/>
      <c r="L373" s="1" t="s">
        <v>863</v>
      </c>
      <c r="M373" s="1" t="s">
        <v>69</v>
      </c>
      <c r="N373" s="1" t="s">
        <v>33</v>
      </c>
      <c r="O373" s="1" t="s">
        <v>71</v>
      </c>
      <c r="P373" s="7"/>
    </row>
    <row r="374" spans="1:16" x14ac:dyDescent="0.3">
      <c r="A374" s="6">
        <v>10364</v>
      </c>
      <c r="B374" s="3" t="s">
        <v>654</v>
      </c>
      <c r="C374" s="3" t="s">
        <v>655</v>
      </c>
      <c r="D374" s="3" t="s">
        <v>656</v>
      </c>
      <c r="E374" s="3" t="s">
        <v>49</v>
      </c>
      <c r="F374" s="3" t="s">
        <v>50</v>
      </c>
      <c r="G374" s="3" t="s">
        <v>82</v>
      </c>
      <c r="H374" s="3" t="s">
        <v>83</v>
      </c>
      <c r="I374" s="4">
        <v>4</v>
      </c>
      <c r="J374" s="4">
        <v>59988</v>
      </c>
      <c r="K374" s="4"/>
      <c r="L374" s="3" t="s">
        <v>657</v>
      </c>
      <c r="M374" s="3" t="s">
        <v>43</v>
      </c>
      <c r="N374" s="3" t="s">
        <v>33</v>
      </c>
      <c r="O374" s="3" t="s">
        <v>34</v>
      </c>
      <c r="P374" s="8">
        <v>3</v>
      </c>
    </row>
    <row r="375" spans="1:16" x14ac:dyDescent="0.3">
      <c r="A375" s="5">
        <v>10365</v>
      </c>
      <c r="B375" s="1" t="s">
        <v>475</v>
      </c>
      <c r="C375" s="1" t="s">
        <v>476</v>
      </c>
      <c r="D375" s="1" t="s">
        <v>477</v>
      </c>
      <c r="E375" s="1" t="s">
        <v>197</v>
      </c>
      <c r="F375" s="1" t="s">
        <v>396</v>
      </c>
      <c r="G375" s="1" t="s">
        <v>478</v>
      </c>
      <c r="H375" s="1" t="s">
        <v>83</v>
      </c>
      <c r="I375" s="2">
        <v>1</v>
      </c>
      <c r="J375" s="2">
        <v>49881</v>
      </c>
      <c r="K375" s="2">
        <v>20</v>
      </c>
      <c r="L375" s="1" t="s">
        <v>479</v>
      </c>
      <c r="M375" s="1" t="s">
        <v>69</v>
      </c>
      <c r="N375" s="1" t="s">
        <v>119</v>
      </c>
      <c r="O375" s="1" t="s">
        <v>45</v>
      </c>
      <c r="P375" s="7">
        <v>1</v>
      </c>
    </row>
    <row r="376" spans="1:16" x14ac:dyDescent="0.3">
      <c r="A376" s="5">
        <v>10366</v>
      </c>
      <c r="B376" s="1" t="s">
        <v>578</v>
      </c>
      <c r="C376" s="1" t="s">
        <v>579</v>
      </c>
      <c r="D376" s="1" t="s">
        <v>580</v>
      </c>
      <c r="E376" s="1" t="s">
        <v>57</v>
      </c>
      <c r="F376" s="1" t="s">
        <v>50</v>
      </c>
      <c r="G376" s="1" t="s">
        <v>99</v>
      </c>
      <c r="H376" s="1" t="s">
        <v>92</v>
      </c>
      <c r="I376" s="2">
        <v>4</v>
      </c>
      <c r="J376" s="2">
        <v>3495</v>
      </c>
      <c r="K376" s="2">
        <v>5</v>
      </c>
      <c r="L376" s="1" t="s">
        <v>581</v>
      </c>
      <c r="M376" s="1" t="s">
        <v>69</v>
      </c>
      <c r="N376" s="1" t="s">
        <v>25</v>
      </c>
      <c r="O376" s="1" t="s">
        <v>53</v>
      </c>
      <c r="P376" s="7">
        <v>5</v>
      </c>
    </row>
    <row r="377" spans="1:16" x14ac:dyDescent="0.3">
      <c r="A377" s="5">
        <v>10367</v>
      </c>
      <c r="B377" s="1" t="s">
        <v>927</v>
      </c>
      <c r="C377" s="1" t="s">
        <v>928</v>
      </c>
      <c r="D377" s="1" t="s">
        <v>929</v>
      </c>
      <c r="E377" s="1" t="s">
        <v>110</v>
      </c>
      <c r="F377" s="1" t="s">
        <v>117</v>
      </c>
      <c r="G377" s="1" t="s">
        <v>298</v>
      </c>
      <c r="H377" s="1" t="s">
        <v>22</v>
      </c>
      <c r="I377" s="2">
        <v>5</v>
      </c>
      <c r="J377" s="2">
        <v>1816</v>
      </c>
      <c r="K377" s="2">
        <v>10</v>
      </c>
      <c r="L377" s="1" t="s">
        <v>930</v>
      </c>
      <c r="M377" s="1" t="s">
        <v>69</v>
      </c>
      <c r="N377" s="1" t="s">
        <v>70</v>
      </c>
      <c r="O377" s="1" t="s">
        <v>71</v>
      </c>
      <c r="P377" s="7">
        <v>1</v>
      </c>
    </row>
    <row r="378" spans="1:16" x14ac:dyDescent="0.3">
      <c r="A378" s="6">
        <v>10368</v>
      </c>
      <c r="B378" s="3" t="s">
        <v>1269</v>
      </c>
      <c r="C378" s="3" t="s">
        <v>121</v>
      </c>
      <c r="D378" s="3" t="s">
        <v>1270</v>
      </c>
      <c r="E378" s="3" t="s">
        <v>445</v>
      </c>
      <c r="F378" s="3" t="s">
        <v>39</v>
      </c>
      <c r="G378" s="3" t="s">
        <v>544</v>
      </c>
      <c r="H378" s="3" t="s">
        <v>83</v>
      </c>
      <c r="I378" s="4">
        <v>1</v>
      </c>
      <c r="J378" s="4">
        <v>64084</v>
      </c>
      <c r="K378" s="4">
        <v>15</v>
      </c>
      <c r="L378" s="3" t="s">
        <v>1271</v>
      </c>
      <c r="M378" s="3" t="s">
        <v>78</v>
      </c>
      <c r="N378" s="3" t="s">
        <v>25</v>
      </c>
      <c r="O378" s="3" t="s">
        <v>34</v>
      </c>
      <c r="P378" s="8">
        <v>3</v>
      </c>
    </row>
    <row r="379" spans="1:16" x14ac:dyDescent="0.3">
      <c r="A379" s="6">
        <v>10369</v>
      </c>
      <c r="B379" s="3" t="s">
        <v>1627</v>
      </c>
      <c r="C379" s="3" t="s">
        <v>997</v>
      </c>
      <c r="D379" s="3" t="s">
        <v>1628</v>
      </c>
      <c r="E379" s="3" t="s">
        <v>317</v>
      </c>
      <c r="F379" s="3" t="s">
        <v>50</v>
      </c>
      <c r="G379" s="3" t="s">
        <v>601</v>
      </c>
      <c r="H379" s="3" t="s">
        <v>22</v>
      </c>
      <c r="I379" s="4">
        <v>3</v>
      </c>
      <c r="J379" s="4">
        <v>1198</v>
      </c>
      <c r="K379" s="4">
        <v>0</v>
      </c>
      <c r="L379" s="3" t="s">
        <v>1629</v>
      </c>
      <c r="M379" s="3" t="s">
        <v>69</v>
      </c>
      <c r="N379" s="3" t="s">
        <v>25</v>
      </c>
      <c r="O379" s="3" t="s">
        <v>71</v>
      </c>
      <c r="P379" s="8">
        <v>1</v>
      </c>
    </row>
    <row r="380" spans="1:16" x14ac:dyDescent="0.3">
      <c r="A380" s="6">
        <v>10370</v>
      </c>
      <c r="B380" s="3" t="s">
        <v>62</v>
      </c>
      <c r="C380" s="3" t="s">
        <v>63</v>
      </c>
      <c r="D380" s="3" t="s">
        <v>64</v>
      </c>
      <c r="E380" s="3" t="s">
        <v>65</v>
      </c>
      <c r="F380" s="3" t="s">
        <v>66</v>
      </c>
      <c r="G380" s="3" t="s">
        <v>67</v>
      </c>
      <c r="H380" s="3" t="s">
        <v>41</v>
      </c>
      <c r="I380" s="4">
        <v>3</v>
      </c>
      <c r="J380" s="4">
        <v>367</v>
      </c>
      <c r="K380" s="4"/>
      <c r="L380" s="3" t="s">
        <v>68</v>
      </c>
      <c r="M380" s="3" t="s">
        <v>69</v>
      </c>
      <c r="N380" s="3" t="s">
        <v>70</v>
      </c>
      <c r="O380" s="3" t="s">
        <v>71</v>
      </c>
      <c r="P380" s="8">
        <v>4</v>
      </c>
    </row>
    <row r="381" spans="1:16" x14ac:dyDescent="0.3">
      <c r="A381" s="6">
        <v>10371</v>
      </c>
      <c r="B381" s="3" t="s">
        <v>434</v>
      </c>
      <c r="C381" s="3" t="s">
        <v>435</v>
      </c>
      <c r="D381" s="3" t="s">
        <v>436</v>
      </c>
      <c r="E381" s="3" t="s">
        <v>269</v>
      </c>
      <c r="F381" s="3" t="s">
        <v>191</v>
      </c>
      <c r="G381" s="3" t="s">
        <v>76</v>
      </c>
      <c r="H381" s="3" t="s">
        <v>41</v>
      </c>
      <c r="I381" s="4">
        <v>4</v>
      </c>
      <c r="J381" s="4">
        <v>147</v>
      </c>
      <c r="K381" s="4"/>
      <c r="L381" s="3" t="s">
        <v>437</v>
      </c>
      <c r="M381" s="3" t="s">
        <v>24</v>
      </c>
      <c r="N381" s="3" t="s">
        <v>70</v>
      </c>
      <c r="O381" s="3" t="s">
        <v>45</v>
      </c>
      <c r="P381" s="8">
        <v>1</v>
      </c>
    </row>
    <row r="382" spans="1:16" x14ac:dyDescent="0.3">
      <c r="A382" s="6">
        <v>10372</v>
      </c>
      <c r="B382" s="3" t="s">
        <v>1191</v>
      </c>
      <c r="C382" s="3" t="s">
        <v>1192</v>
      </c>
      <c r="D382" s="3"/>
      <c r="E382" s="3" t="s">
        <v>279</v>
      </c>
      <c r="F382" s="3" t="s">
        <v>259</v>
      </c>
      <c r="G382" s="3" t="s">
        <v>106</v>
      </c>
      <c r="H382" s="3" t="s">
        <v>83</v>
      </c>
      <c r="I382" s="4">
        <v>5</v>
      </c>
      <c r="J382" s="4">
        <v>12200</v>
      </c>
      <c r="K382" s="4">
        <v>5</v>
      </c>
      <c r="L382" s="3" t="s">
        <v>1061</v>
      </c>
      <c r="M382" s="3" t="s">
        <v>32</v>
      </c>
      <c r="N382" s="3" t="s">
        <v>814</v>
      </c>
      <c r="O382" s="3" t="s">
        <v>53</v>
      </c>
      <c r="P382" s="8">
        <v>3</v>
      </c>
    </row>
    <row r="383" spans="1:16" x14ac:dyDescent="0.3">
      <c r="A383" s="5">
        <v>10373</v>
      </c>
      <c r="B383" s="1" t="s">
        <v>658</v>
      </c>
      <c r="C383" s="1"/>
      <c r="D383" s="1"/>
      <c r="E383" s="1" t="s">
        <v>178</v>
      </c>
      <c r="F383" s="1" t="s">
        <v>20</v>
      </c>
      <c r="G383" s="1" t="s">
        <v>659</v>
      </c>
      <c r="H383" s="1" t="s">
        <v>83</v>
      </c>
      <c r="I383" s="2">
        <v>2</v>
      </c>
      <c r="J383" s="2">
        <v>19624</v>
      </c>
      <c r="K383" s="2">
        <v>10</v>
      </c>
      <c r="L383" s="1" t="s">
        <v>660</v>
      </c>
      <c r="M383" s="1" t="s">
        <v>94</v>
      </c>
      <c r="N383" s="1" t="s">
        <v>33</v>
      </c>
      <c r="O383" s="1" t="s">
        <v>53</v>
      </c>
      <c r="P383" s="7">
        <v>4</v>
      </c>
    </row>
    <row r="384" spans="1:16" x14ac:dyDescent="0.3">
      <c r="A384" s="6">
        <v>10374</v>
      </c>
      <c r="B384" s="3" t="s">
        <v>725</v>
      </c>
      <c r="C384" s="3" t="s">
        <v>256</v>
      </c>
      <c r="D384" s="3" t="s">
        <v>1535</v>
      </c>
      <c r="E384" s="3" t="s">
        <v>1318</v>
      </c>
      <c r="F384" s="3" t="s">
        <v>354</v>
      </c>
      <c r="G384" s="3" t="s">
        <v>204</v>
      </c>
      <c r="H384" s="3" t="s">
        <v>143</v>
      </c>
      <c r="I384" s="4">
        <v>4</v>
      </c>
      <c r="J384" s="4">
        <v>215</v>
      </c>
      <c r="K384" s="4">
        <v>0</v>
      </c>
      <c r="L384" s="3" t="s">
        <v>1019</v>
      </c>
      <c r="M384" s="3" t="s">
        <v>69</v>
      </c>
      <c r="N384" s="3" t="s">
        <v>25</v>
      </c>
      <c r="O384" s="3" t="s">
        <v>71</v>
      </c>
      <c r="P384" s="8">
        <v>2</v>
      </c>
    </row>
    <row r="385" spans="1:16" x14ac:dyDescent="0.3">
      <c r="A385" s="5">
        <v>10375</v>
      </c>
      <c r="B385" s="1" t="s">
        <v>1477</v>
      </c>
      <c r="C385" s="1" t="s">
        <v>1076</v>
      </c>
      <c r="D385" s="1" t="s">
        <v>1495</v>
      </c>
      <c r="E385" s="1" t="s">
        <v>343</v>
      </c>
      <c r="F385" s="1" t="s">
        <v>50</v>
      </c>
      <c r="G385" s="1" t="s">
        <v>601</v>
      </c>
      <c r="H385" s="1" t="s">
        <v>22</v>
      </c>
      <c r="I385" s="2">
        <v>2</v>
      </c>
      <c r="J385" s="2">
        <v>404</v>
      </c>
      <c r="K385" s="2">
        <v>5</v>
      </c>
      <c r="L385" s="1" t="s">
        <v>1496</v>
      </c>
      <c r="M385" s="1" t="s">
        <v>94</v>
      </c>
      <c r="N385" s="1" t="s">
        <v>70</v>
      </c>
      <c r="O385" s="1" t="s">
        <v>71</v>
      </c>
      <c r="P385" s="7">
        <v>2</v>
      </c>
    </row>
    <row r="386" spans="1:16" x14ac:dyDescent="0.3">
      <c r="A386" s="5">
        <v>10376</v>
      </c>
      <c r="B386" s="1" t="s">
        <v>1613</v>
      </c>
      <c r="C386" s="1" t="s">
        <v>458</v>
      </c>
      <c r="D386" s="1" t="s">
        <v>1614</v>
      </c>
      <c r="E386" s="1" t="s">
        <v>558</v>
      </c>
      <c r="F386" s="1" t="s">
        <v>214</v>
      </c>
      <c r="G386" s="1" t="s">
        <v>958</v>
      </c>
      <c r="H386" s="1" t="s">
        <v>83</v>
      </c>
      <c r="I386" s="2">
        <v>5</v>
      </c>
      <c r="J386" s="2">
        <v>29342</v>
      </c>
      <c r="K386" s="2">
        <v>0</v>
      </c>
      <c r="L386" s="1" t="s">
        <v>1615</v>
      </c>
      <c r="M386" s="1" t="s">
        <v>145</v>
      </c>
      <c r="N386" s="1" t="s">
        <v>33</v>
      </c>
      <c r="O386" s="1" t="s">
        <v>45</v>
      </c>
      <c r="P386" s="7"/>
    </row>
    <row r="387" spans="1:16" x14ac:dyDescent="0.3">
      <c r="A387" s="5">
        <v>10377</v>
      </c>
      <c r="B387" s="1" t="s">
        <v>1051</v>
      </c>
      <c r="C387" s="1" t="s">
        <v>229</v>
      </c>
      <c r="D387" s="1" t="s">
        <v>1052</v>
      </c>
      <c r="E387" s="1" t="s">
        <v>219</v>
      </c>
      <c r="F387" s="1" t="s">
        <v>150</v>
      </c>
      <c r="G387" s="1" t="s">
        <v>112</v>
      </c>
      <c r="H387" s="1" t="s">
        <v>83</v>
      </c>
      <c r="I387" s="2">
        <v>1</v>
      </c>
      <c r="J387" s="2">
        <v>15633</v>
      </c>
      <c r="K387" s="2">
        <v>15</v>
      </c>
      <c r="L387" s="1" t="s">
        <v>909</v>
      </c>
      <c r="M387" s="1" t="s">
        <v>69</v>
      </c>
      <c r="N387" s="1" t="s">
        <v>25</v>
      </c>
      <c r="O387" s="1" t="s">
        <v>71</v>
      </c>
      <c r="P387" s="7">
        <v>1</v>
      </c>
    </row>
    <row r="388" spans="1:16" x14ac:dyDescent="0.3">
      <c r="A388" s="5">
        <v>10378</v>
      </c>
      <c r="B388" s="1" t="s">
        <v>54</v>
      </c>
      <c r="C388" s="1" t="s">
        <v>55</v>
      </c>
      <c r="D388" s="1" t="s">
        <v>56</v>
      </c>
      <c r="E388" s="1" t="s">
        <v>57</v>
      </c>
      <c r="F388" s="1" t="s">
        <v>58</v>
      </c>
      <c r="G388" s="1" t="s">
        <v>59</v>
      </c>
      <c r="H388" s="1" t="s">
        <v>60</v>
      </c>
      <c r="I388" s="2">
        <v>1</v>
      </c>
      <c r="J388" s="2">
        <v>620</v>
      </c>
      <c r="K388" s="2">
        <v>15</v>
      </c>
      <c r="L388" s="1" t="s">
        <v>61</v>
      </c>
      <c r="M388" s="1" t="s">
        <v>43</v>
      </c>
      <c r="N388" s="1" t="s">
        <v>25</v>
      </c>
      <c r="O388" s="1"/>
      <c r="P388" s="7"/>
    </row>
    <row r="389" spans="1:16" x14ac:dyDescent="0.3">
      <c r="A389" s="5">
        <v>10379</v>
      </c>
      <c r="B389" s="1" t="s">
        <v>1378</v>
      </c>
      <c r="C389" s="1" t="s">
        <v>708</v>
      </c>
      <c r="D389" s="1" t="s">
        <v>1428</v>
      </c>
      <c r="E389" s="1" t="s">
        <v>89</v>
      </c>
      <c r="F389" s="1" t="s">
        <v>90</v>
      </c>
      <c r="G389" s="1" t="s">
        <v>179</v>
      </c>
      <c r="H389" s="1" t="s">
        <v>60</v>
      </c>
      <c r="I389" s="2">
        <v>4</v>
      </c>
      <c r="J389" s="2">
        <v>632</v>
      </c>
      <c r="K389" s="2"/>
      <c r="L389" s="1" t="s">
        <v>1429</v>
      </c>
      <c r="M389" s="1" t="s">
        <v>69</v>
      </c>
      <c r="N389" s="1" t="s">
        <v>25</v>
      </c>
      <c r="O389" s="1" t="s">
        <v>174</v>
      </c>
      <c r="P389" s="7">
        <v>2</v>
      </c>
    </row>
    <row r="390" spans="1:16" x14ac:dyDescent="0.3">
      <c r="A390" s="6">
        <v>10380</v>
      </c>
      <c r="B390" s="3" t="s">
        <v>1023</v>
      </c>
      <c r="C390" s="3" t="s">
        <v>1024</v>
      </c>
      <c r="D390" s="3" t="s">
        <v>1025</v>
      </c>
      <c r="E390" s="3" t="s">
        <v>572</v>
      </c>
      <c r="F390" s="3" t="s">
        <v>362</v>
      </c>
      <c r="G390" s="3" t="s">
        <v>322</v>
      </c>
      <c r="H390" s="3" t="s">
        <v>83</v>
      </c>
      <c r="I390" s="4">
        <v>2</v>
      </c>
      <c r="J390" s="4">
        <v>2922</v>
      </c>
      <c r="K390" s="4">
        <v>20</v>
      </c>
      <c r="L390" s="3" t="s">
        <v>1026</v>
      </c>
      <c r="M390" s="3" t="s">
        <v>32</v>
      </c>
      <c r="N390" s="3" t="s">
        <v>25</v>
      </c>
      <c r="O390" s="3" t="s">
        <v>53</v>
      </c>
      <c r="P390" s="8">
        <v>2</v>
      </c>
    </row>
    <row r="391" spans="1:16" x14ac:dyDescent="0.3">
      <c r="A391" s="6">
        <v>10381</v>
      </c>
      <c r="B391" s="3" t="s">
        <v>490</v>
      </c>
      <c r="C391" s="3" t="s">
        <v>491</v>
      </c>
      <c r="D391" s="3" t="s">
        <v>635</v>
      </c>
      <c r="E391" s="3" t="s">
        <v>57</v>
      </c>
      <c r="F391" s="3" t="s">
        <v>50</v>
      </c>
      <c r="G391" s="3" t="s">
        <v>99</v>
      </c>
      <c r="H391" s="3" t="s">
        <v>92</v>
      </c>
      <c r="I391" s="4">
        <v>5</v>
      </c>
      <c r="J391" s="4">
        <v>3377</v>
      </c>
      <c r="K391" s="4"/>
      <c r="L391" s="3" t="s">
        <v>636</v>
      </c>
      <c r="M391" s="3" t="s">
        <v>69</v>
      </c>
      <c r="N391" s="3" t="s">
        <v>70</v>
      </c>
      <c r="O391" s="3" t="s">
        <v>53</v>
      </c>
      <c r="P391" s="8">
        <v>3</v>
      </c>
    </row>
    <row r="392" spans="1:16" x14ac:dyDescent="0.3">
      <c r="A392" s="6">
        <v>10382</v>
      </c>
      <c r="B392" s="3" t="s">
        <v>832</v>
      </c>
      <c r="C392" s="3" t="s">
        <v>833</v>
      </c>
      <c r="D392" s="3" t="s">
        <v>834</v>
      </c>
      <c r="E392" s="3" t="s">
        <v>219</v>
      </c>
      <c r="F392" s="3" t="s">
        <v>150</v>
      </c>
      <c r="G392" s="3" t="s">
        <v>835</v>
      </c>
      <c r="H392" s="3" t="s">
        <v>83</v>
      </c>
      <c r="I392" s="4">
        <v>2</v>
      </c>
      <c r="J392" s="4">
        <v>6236</v>
      </c>
      <c r="K392" s="4">
        <v>0</v>
      </c>
      <c r="L392" s="3" t="s">
        <v>836</v>
      </c>
      <c r="M392" s="3" t="s">
        <v>101</v>
      </c>
      <c r="N392" s="3" t="s">
        <v>25</v>
      </c>
      <c r="O392" s="3" t="s">
        <v>53</v>
      </c>
      <c r="P392" s="8">
        <v>4</v>
      </c>
    </row>
    <row r="393" spans="1:16" x14ac:dyDescent="0.3">
      <c r="A393" s="5">
        <v>10383</v>
      </c>
      <c r="B393" s="1" t="s">
        <v>250</v>
      </c>
      <c r="C393" s="1" t="s">
        <v>251</v>
      </c>
      <c r="D393" s="1" t="s">
        <v>287</v>
      </c>
      <c r="E393" s="1" t="s">
        <v>197</v>
      </c>
      <c r="F393" s="1" t="s">
        <v>288</v>
      </c>
      <c r="G393" s="1" t="s">
        <v>106</v>
      </c>
      <c r="H393" s="1" t="s">
        <v>83</v>
      </c>
      <c r="I393" s="2">
        <v>1</v>
      </c>
      <c r="J393" s="2">
        <v>10454</v>
      </c>
      <c r="K393" s="2"/>
      <c r="L393" s="1" t="s">
        <v>289</v>
      </c>
      <c r="M393" s="1" t="s">
        <v>85</v>
      </c>
      <c r="N393" s="1" t="s">
        <v>33</v>
      </c>
      <c r="O393" s="1" t="s">
        <v>34</v>
      </c>
      <c r="P393" s="7">
        <v>4</v>
      </c>
    </row>
    <row r="394" spans="1:16" x14ac:dyDescent="0.3">
      <c r="A394" s="6">
        <v>10384</v>
      </c>
      <c r="B394" s="3" t="s">
        <v>1490</v>
      </c>
      <c r="C394" s="3" t="s">
        <v>1491</v>
      </c>
      <c r="D394" s="3" t="s">
        <v>1492</v>
      </c>
      <c r="E394" s="3" t="s">
        <v>104</v>
      </c>
      <c r="F394" s="3" t="s">
        <v>105</v>
      </c>
      <c r="G394" s="3" t="s">
        <v>226</v>
      </c>
      <c r="H394" s="3" t="s">
        <v>22</v>
      </c>
      <c r="I394" s="4">
        <v>3</v>
      </c>
      <c r="J394" s="4">
        <v>625</v>
      </c>
      <c r="K394" s="4">
        <v>10</v>
      </c>
      <c r="L394" s="3" t="s">
        <v>1141</v>
      </c>
      <c r="M394" s="3" t="s">
        <v>69</v>
      </c>
      <c r="N394" s="3" t="s">
        <v>25</v>
      </c>
      <c r="O394" s="3" t="s">
        <v>71</v>
      </c>
      <c r="P394" s="8">
        <v>4</v>
      </c>
    </row>
    <row r="395" spans="1:16" x14ac:dyDescent="0.3">
      <c r="A395" s="5">
        <v>10385</v>
      </c>
      <c r="B395" s="1" t="s">
        <v>442</v>
      </c>
      <c r="C395" s="1"/>
      <c r="D395" s="1" t="s">
        <v>949</v>
      </c>
      <c r="E395" s="1" t="s">
        <v>279</v>
      </c>
      <c r="F395" s="1" t="s">
        <v>259</v>
      </c>
      <c r="G395" s="1" t="s">
        <v>950</v>
      </c>
      <c r="H395" s="1" t="s">
        <v>83</v>
      </c>
      <c r="I395" s="2">
        <v>5</v>
      </c>
      <c r="J395" s="2">
        <v>10475</v>
      </c>
      <c r="K395" s="2">
        <v>5</v>
      </c>
      <c r="L395" s="1" t="s">
        <v>376</v>
      </c>
      <c r="M395" s="1" t="s">
        <v>78</v>
      </c>
      <c r="N395" s="1" t="s">
        <v>25</v>
      </c>
      <c r="O395" s="1" t="s">
        <v>71</v>
      </c>
      <c r="P395" s="7">
        <v>5</v>
      </c>
    </row>
    <row r="396" spans="1:16" x14ac:dyDescent="0.3">
      <c r="A396" s="6">
        <v>10386</v>
      </c>
      <c r="B396" s="3" t="s">
        <v>538</v>
      </c>
      <c r="C396" s="3" t="s">
        <v>432</v>
      </c>
      <c r="D396" s="3" t="s">
        <v>539</v>
      </c>
      <c r="E396" s="3" t="s">
        <v>57</v>
      </c>
      <c r="F396" s="3" t="s">
        <v>50</v>
      </c>
      <c r="G396" s="3" t="s">
        <v>179</v>
      </c>
      <c r="H396" s="3" t="s">
        <v>60</v>
      </c>
      <c r="I396" s="4">
        <v>5</v>
      </c>
      <c r="J396" s="4">
        <v>477</v>
      </c>
      <c r="K396" s="4"/>
      <c r="L396" s="3" t="s">
        <v>540</v>
      </c>
      <c r="M396" s="3" t="s">
        <v>24</v>
      </c>
      <c r="N396" s="3" t="s">
        <v>25</v>
      </c>
      <c r="O396" s="3" t="s">
        <v>34</v>
      </c>
      <c r="P396" s="8">
        <v>5</v>
      </c>
    </row>
    <row r="397" spans="1:16" x14ac:dyDescent="0.3">
      <c r="A397" s="6">
        <v>10387</v>
      </c>
      <c r="B397" s="3" t="s">
        <v>244</v>
      </c>
      <c r="C397" s="3" t="s">
        <v>471</v>
      </c>
      <c r="D397" s="3" t="s">
        <v>472</v>
      </c>
      <c r="E397" s="3" t="s">
        <v>473</v>
      </c>
      <c r="F397" s="3" t="s">
        <v>326</v>
      </c>
      <c r="G397" s="3" t="s">
        <v>474</v>
      </c>
      <c r="H397" s="3" t="s">
        <v>143</v>
      </c>
      <c r="I397" s="4">
        <v>4</v>
      </c>
      <c r="J397" s="4">
        <v>748</v>
      </c>
      <c r="K397" s="4"/>
      <c r="L397" s="3" t="s">
        <v>461</v>
      </c>
      <c r="M397" s="3" t="s">
        <v>78</v>
      </c>
      <c r="N397" s="3" t="s">
        <v>25</v>
      </c>
      <c r="O397" s="3" t="s">
        <v>71</v>
      </c>
      <c r="P397" s="8">
        <v>1</v>
      </c>
    </row>
    <row r="398" spans="1:16" x14ac:dyDescent="0.3">
      <c r="A398" s="5">
        <v>10388</v>
      </c>
      <c r="B398" s="1" t="s">
        <v>745</v>
      </c>
      <c r="C398" s="1" t="s">
        <v>746</v>
      </c>
      <c r="D398" s="1" t="s">
        <v>747</v>
      </c>
      <c r="E398" s="1" t="s">
        <v>584</v>
      </c>
      <c r="F398" s="1" t="s">
        <v>191</v>
      </c>
      <c r="G398" s="1" t="s">
        <v>179</v>
      </c>
      <c r="H398" s="1" t="s">
        <v>60</v>
      </c>
      <c r="I398" s="2">
        <v>1</v>
      </c>
      <c r="J398" s="2">
        <v>404</v>
      </c>
      <c r="K398" s="2">
        <v>15</v>
      </c>
      <c r="L398" s="1" t="s">
        <v>748</v>
      </c>
      <c r="M398" s="1" t="s">
        <v>101</v>
      </c>
      <c r="N398" s="1" t="s">
        <v>70</v>
      </c>
      <c r="O398" s="1" t="s">
        <v>174</v>
      </c>
      <c r="P398" s="7">
        <v>1</v>
      </c>
    </row>
    <row r="399" spans="1:16" x14ac:dyDescent="0.3">
      <c r="A399" s="5">
        <v>10389</v>
      </c>
      <c r="B399" s="1" t="s">
        <v>187</v>
      </c>
      <c r="C399" s="1" t="s">
        <v>188</v>
      </c>
      <c r="D399" s="1" t="s">
        <v>189</v>
      </c>
      <c r="E399" s="1" t="s">
        <v>190</v>
      </c>
      <c r="F399" s="1" t="s">
        <v>191</v>
      </c>
      <c r="G399" s="1" t="s">
        <v>192</v>
      </c>
      <c r="H399" s="1" t="s">
        <v>92</v>
      </c>
      <c r="I399" s="2">
        <v>1</v>
      </c>
      <c r="J399" s="2">
        <v>1010</v>
      </c>
      <c r="K399" s="2">
        <v>10</v>
      </c>
      <c r="L399" s="1" t="s">
        <v>193</v>
      </c>
      <c r="M399" s="1" t="s">
        <v>24</v>
      </c>
      <c r="N399" s="1" t="s">
        <v>119</v>
      </c>
      <c r="O399" s="1" t="s">
        <v>53</v>
      </c>
      <c r="P399" s="7">
        <v>2</v>
      </c>
    </row>
    <row r="400" spans="1:16" x14ac:dyDescent="0.3">
      <c r="A400" s="6">
        <v>10390</v>
      </c>
      <c r="B400" s="3" t="s">
        <v>505</v>
      </c>
      <c r="C400" s="3" t="s">
        <v>506</v>
      </c>
      <c r="D400" s="3" t="s">
        <v>507</v>
      </c>
      <c r="E400" s="3" t="s">
        <v>38</v>
      </c>
      <c r="F400" s="3" t="s">
        <v>508</v>
      </c>
      <c r="G400" s="3" t="s">
        <v>51</v>
      </c>
      <c r="H400" s="3" t="s">
        <v>22</v>
      </c>
      <c r="I400" s="4">
        <v>1</v>
      </c>
      <c r="J400" s="4">
        <v>1084</v>
      </c>
      <c r="K400" s="4"/>
      <c r="L400" s="3" t="s">
        <v>509</v>
      </c>
      <c r="M400" s="3" t="s">
        <v>43</v>
      </c>
      <c r="N400" s="3" t="s">
        <v>25</v>
      </c>
      <c r="O400" s="3" t="s">
        <v>45</v>
      </c>
      <c r="P400" s="8">
        <v>1</v>
      </c>
    </row>
    <row r="401" spans="1:16" x14ac:dyDescent="0.3">
      <c r="A401" s="5">
        <v>10391</v>
      </c>
      <c r="B401" s="1" t="s">
        <v>665</v>
      </c>
      <c r="C401" s="1" t="s">
        <v>485</v>
      </c>
      <c r="D401" s="1" t="s">
        <v>666</v>
      </c>
      <c r="E401" s="1" t="s">
        <v>297</v>
      </c>
      <c r="F401" s="1" t="s">
        <v>667</v>
      </c>
      <c r="G401" s="1" t="s">
        <v>298</v>
      </c>
      <c r="H401" s="1" t="s">
        <v>22</v>
      </c>
      <c r="I401" s="2">
        <v>5</v>
      </c>
      <c r="J401" s="2">
        <v>956</v>
      </c>
      <c r="K401" s="2">
        <v>0</v>
      </c>
      <c r="L401" s="1" t="s">
        <v>668</v>
      </c>
      <c r="M401" s="1" t="s">
        <v>43</v>
      </c>
      <c r="N401" s="1" t="s">
        <v>25</v>
      </c>
      <c r="O401" s="1" t="s">
        <v>45</v>
      </c>
      <c r="P401" s="7">
        <v>3</v>
      </c>
    </row>
    <row r="402" spans="1:16" x14ac:dyDescent="0.3">
      <c r="A402" s="6">
        <v>10392</v>
      </c>
      <c r="B402" s="3" t="s">
        <v>769</v>
      </c>
      <c r="C402" s="3" t="s">
        <v>770</v>
      </c>
      <c r="D402" s="3" t="s">
        <v>771</v>
      </c>
      <c r="E402" s="3" t="s">
        <v>371</v>
      </c>
      <c r="F402" s="3" t="s">
        <v>209</v>
      </c>
      <c r="G402" s="3" t="s">
        <v>411</v>
      </c>
      <c r="H402" s="3" t="s">
        <v>83</v>
      </c>
      <c r="I402" s="4">
        <v>1</v>
      </c>
      <c r="J402" s="4">
        <v>62141</v>
      </c>
      <c r="K402" s="4">
        <v>15</v>
      </c>
      <c r="L402" s="3" t="s">
        <v>772</v>
      </c>
      <c r="M402" s="3" t="s">
        <v>157</v>
      </c>
      <c r="N402" s="3" t="s">
        <v>70</v>
      </c>
      <c r="O402" s="3"/>
      <c r="P402" s="8">
        <v>4</v>
      </c>
    </row>
    <row r="403" spans="1:16" x14ac:dyDescent="0.3">
      <c r="A403" s="5">
        <v>10393</v>
      </c>
      <c r="B403" s="1" t="s">
        <v>1093</v>
      </c>
      <c r="C403" s="1" t="s">
        <v>655</v>
      </c>
      <c r="D403" s="1" t="s">
        <v>1094</v>
      </c>
      <c r="E403" s="1" t="s">
        <v>149</v>
      </c>
      <c r="F403" s="1" t="s">
        <v>66</v>
      </c>
      <c r="G403" s="1" t="s">
        <v>1095</v>
      </c>
      <c r="H403" s="1" t="s">
        <v>143</v>
      </c>
      <c r="I403" s="2">
        <v>5</v>
      </c>
      <c r="J403" s="2">
        <v>155</v>
      </c>
      <c r="K403" s="2">
        <v>20</v>
      </c>
      <c r="L403" s="1" t="s">
        <v>1096</v>
      </c>
      <c r="M403" s="1" t="s">
        <v>78</v>
      </c>
      <c r="N403" s="1" t="s">
        <v>25</v>
      </c>
      <c r="O403" s="1" t="s">
        <v>53</v>
      </c>
      <c r="P403" s="7">
        <v>1</v>
      </c>
    </row>
    <row r="404" spans="1:16" x14ac:dyDescent="0.3">
      <c r="A404" s="5">
        <v>10394</v>
      </c>
      <c r="B404" s="1" t="s">
        <v>255</v>
      </c>
      <c r="C404" s="1" t="s">
        <v>256</v>
      </c>
      <c r="D404" s="1" t="s">
        <v>837</v>
      </c>
      <c r="E404" s="1" t="s">
        <v>74</v>
      </c>
      <c r="F404" s="1" t="s">
        <v>326</v>
      </c>
      <c r="G404" s="1" t="s">
        <v>106</v>
      </c>
      <c r="H404" s="1" t="s">
        <v>83</v>
      </c>
      <c r="I404" s="2">
        <v>4</v>
      </c>
      <c r="J404" s="2">
        <v>10086</v>
      </c>
      <c r="K404" s="2">
        <v>15</v>
      </c>
      <c r="L404" s="1" t="s">
        <v>838</v>
      </c>
      <c r="M404" s="1" t="s">
        <v>94</v>
      </c>
      <c r="N404" s="1" t="s">
        <v>25</v>
      </c>
      <c r="O404" s="1" t="s">
        <v>34</v>
      </c>
      <c r="P404" s="7">
        <v>4</v>
      </c>
    </row>
    <row r="405" spans="1:16" x14ac:dyDescent="0.3">
      <c r="A405" s="5">
        <v>10395</v>
      </c>
      <c r="B405" s="1" t="s">
        <v>120</v>
      </c>
      <c r="C405" s="1" t="s">
        <v>121</v>
      </c>
      <c r="D405" s="1"/>
      <c r="E405" s="1" t="s">
        <v>258</v>
      </c>
      <c r="F405" s="1" t="s">
        <v>576</v>
      </c>
      <c r="G405" s="1" t="s">
        <v>151</v>
      </c>
      <c r="H405" s="1" t="s">
        <v>143</v>
      </c>
      <c r="I405" s="2">
        <v>3</v>
      </c>
      <c r="J405" s="2">
        <v>863</v>
      </c>
      <c r="K405" s="2"/>
      <c r="L405" s="1" t="s">
        <v>1552</v>
      </c>
      <c r="M405" s="1" t="s">
        <v>78</v>
      </c>
      <c r="N405" s="1" t="s">
        <v>25</v>
      </c>
      <c r="O405" s="1" t="s">
        <v>71</v>
      </c>
      <c r="P405" s="7"/>
    </row>
    <row r="406" spans="1:16" x14ac:dyDescent="0.3">
      <c r="A406" s="5">
        <v>10396</v>
      </c>
      <c r="B406" s="1" t="s">
        <v>233</v>
      </c>
      <c r="C406" s="1" t="s">
        <v>234</v>
      </c>
      <c r="D406" s="1" t="s">
        <v>235</v>
      </c>
      <c r="E406" s="1" t="s">
        <v>236</v>
      </c>
      <c r="F406" s="1" t="s">
        <v>150</v>
      </c>
      <c r="G406" s="1" t="s">
        <v>59</v>
      </c>
      <c r="H406" s="1" t="s">
        <v>60</v>
      </c>
      <c r="I406" s="2">
        <v>4</v>
      </c>
      <c r="J406" s="2">
        <v>304</v>
      </c>
      <c r="K406" s="2">
        <v>20</v>
      </c>
      <c r="L406" s="1" t="s">
        <v>237</v>
      </c>
      <c r="M406" s="1" t="s">
        <v>32</v>
      </c>
      <c r="N406" s="1" t="s">
        <v>108</v>
      </c>
      <c r="O406" s="1" t="s">
        <v>53</v>
      </c>
      <c r="P406" s="7">
        <v>5</v>
      </c>
    </row>
    <row r="407" spans="1:16" x14ac:dyDescent="0.3">
      <c r="A407" s="6">
        <v>10397</v>
      </c>
      <c r="B407" s="3" t="s">
        <v>749</v>
      </c>
      <c r="C407" s="3" t="s">
        <v>750</v>
      </c>
      <c r="D407" s="3" t="s">
        <v>751</v>
      </c>
      <c r="E407" s="3" t="s">
        <v>738</v>
      </c>
      <c r="F407" s="3" t="s">
        <v>354</v>
      </c>
      <c r="G407" s="3" t="s">
        <v>397</v>
      </c>
      <c r="H407" s="3" t="s">
        <v>143</v>
      </c>
      <c r="I407" s="4">
        <v>1</v>
      </c>
      <c r="J407" s="4">
        <v>368</v>
      </c>
      <c r="K407" s="4">
        <v>20</v>
      </c>
      <c r="L407" s="3" t="s">
        <v>752</v>
      </c>
      <c r="M407" s="3" t="s">
        <v>69</v>
      </c>
      <c r="N407" s="3" t="s">
        <v>33</v>
      </c>
      <c r="O407" s="3" t="s">
        <v>45</v>
      </c>
      <c r="P407" s="8">
        <v>4</v>
      </c>
    </row>
    <row r="408" spans="1:16" x14ac:dyDescent="0.3">
      <c r="A408" s="5">
        <v>10398</v>
      </c>
      <c r="B408" s="1" t="s">
        <v>305</v>
      </c>
      <c r="C408" s="1" t="s">
        <v>306</v>
      </c>
      <c r="D408" s="1" t="s">
        <v>307</v>
      </c>
      <c r="E408" s="1" t="s">
        <v>110</v>
      </c>
      <c r="F408" s="1" t="s">
        <v>308</v>
      </c>
      <c r="G408" s="1" t="s">
        <v>67</v>
      </c>
      <c r="H408" s="1" t="s">
        <v>41</v>
      </c>
      <c r="I408" s="2">
        <v>3</v>
      </c>
      <c r="J408" s="2">
        <v>274</v>
      </c>
      <c r="K408" s="2">
        <v>0</v>
      </c>
      <c r="L408" s="1" t="s">
        <v>309</v>
      </c>
      <c r="M408" s="1" t="s">
        <v>78</v>
      </c>
      <c r="N408" s="1" t="s">
        <v>33</v>
      </c>
      <c r="O408" s="1" t="s">
        <v>53</v>
      </c>
      <c r="P408" s="7">
        <v>2</v>
      </c>
    </row>
    <row r="409" spans="1:16" x14ac:dyDescent="0.3">
      <c r="A409" s="6">
        <v>10399</v>
      </c>
      <c r="B409" s="3" t="s">
        <v>379</v>
      </c>
      <c r="C409" s="3" t="s">
        <v>380</v>
      </c>
      <c r="D409" s="3"/>
      <c r="E409" s="3" t="s">
        <v>343</v>
      </c>
      <c r="F409" s="3" t="s">
        <v>50</v>
      </c>
      <c r="G409" s="3" t="s">
        <v>161</v>
      </c>
      <c r="H409" s="3" t="s">
        <v>83</v>
      </c>
      <c r="I409" s="4">
        <v>1</v>
      </c>
      <c r="J409" s="4">
        <v>22714</v>
      </c>
      <c r="K409" s="4">
        <v>20</v>
      </c>
      <c r="L409" s="3" t="s">
        <v>480</v>
      </c>
      <c r="M409" s="3" t="s">
        <v>78</v>
      </c>
      <c r="N409" s="3" t="s">
        <v>25</v>
      </c>
      <c r="O409" s="3" t="s">
        <v>53</v>
      </c>
      <c r="P409" s="8"/>
    </row>
    <row r="410" spans="1:16" x14ac:dyDescent="0.3">
      <c r="A410" s="5">
        <v>10400</v>
      </c>
      <c r="B410" s="1" t="s">
        <v>1464</v>
      </c>
      <c r="C410" s="1" t="s">
        <v>871</v>
      </c>
      <c r="D410" s="1" t="s">
        <v>1465</v>
      </c>
      <c r="E410" s="1" t="s">
        <v>273</v>
      </c>
      <c r="F410" s="1" t="s">
        <v>274</v>
      </c>
      <c r="G410" s="1" t="s">
        <v>958</v>
      </c>
      <c r="H410" s="1" t="s">
        <v>83</v>
      </c>
      <c r="I410" s="2">
        <v>3</v>
      </c>
      <c r="J410" s="2">
        <v>34426</v>
      </c>
      <c r="K410" s="2">
        <v>15</v>
      </c>
      <c r="L410" s="1" t="s">
        <v>1260</v>
      </c>
      <c r="M410" s="1" t="s">
        <v>69</v>
      </c>
      <c r="N410" s="1" t="s">
        <v>25</v>
      </c>
      <c r="O410" s="1" t="s">
        <v>53</v>
      </c>
      <c r="P410" s="7">
        <v>4</v>
      </c>
    </row>
    <row r="411" spans="1:16" x14ac:dyDescent="0.3">
      <c r="A411" s="6">
        <v>10401</v>
      </c>
      <c r="B411" s="3" t="s">
        <v>1254</v>
      </c>
      <c r="C411" s="3" t="s">
        <v>879</v>
      </c>
      <c r="D411" s="3" t="s">
        <v>1255</v>
      </c>
      <c r="E411" s="3" t="s">
        <v>767</v>
      </c>
      <c r="F411" s="3" t="s">
        <v>396</v>
      </c>
      <c r="G411" s="3" t="s">
        <v>179</v>
      </c>
      <c r="H411" s="3" t="s">
        <v>60</v>
      </c>
      <c r="I411" s="4">
        <v>1</v>
      </c>
      <c r="J411" s="4">
        <v>434</v>
      </c>
      <c r="K411" s="4"/>
      <c r="L411" s="3" t="s">
        <v>1256</v>
      </c>
      <c r="M411" s="3" t="s">
        <v>24</v>
      </c>
      <c r="N411" s="3" t="s">
        <v>25</v>
      </c>
      <c r="O411" s="3" t="s">
        <v>71</v>
      </c>
      <c r="P411" s="8">
        <v>3</v>
      </c>
    </row>
    <row r="412" spans="1:16" x14ac:dyDescent="0.3">
      <c r="A412" s="5">
        <v>10402</v>
      </c>
      <c r="B412" s="1" t="s">
        <v>1011</v>
      </c>
      <c r="C412" s="1" t="s">
        <v>713</v>
      </c>
      <c r="D412" s="1" t="s">
        <v>1012</v>
      </c>
      <c r="E412" s="1" t="s">
        <v>558</v>
      </c>
      <c r="F412" s="1" t="s">
        <v>396</v>
      </c>
      <c r="G412" s="1" t="s">
        <v>142</v>
      </c>
      <c r="H412" s="1" t="s">
        <v>143</v>
      </c>
      <c r="I412" s="2">
        <v>5</v>
      </c>
      <c r="J412" s="2">
        <v>781</v>
      </c>
      <c r="K412" s="2">
        <v>0</v>
      </c>
      <c r="L412" s="1" t="s">
        <v>1013</v>
      </c>
      <c r="M412" s="1" t="s">
        <v>101</v>
      </c>
      <c r="N412" s="1" t="s">
        <v>25</v>
      </c>
      <c r="O412" s="1" t="s">
        <v>53</v>
      </c>
      <c r="P412" s="7">
        <v>5</v>
      </c>
    </row>
    <row r="413" spans="1:16" x14ac:dyDescent="0.3">
      <c r="A413" s="5">
        <v>10403</v>
      </c>
      <c r="B413" s="1" t="s">
        <v>399</v>
      </c>
      <c r="C413" s="1" t="s">
        <v>1249</v>
      </c>
      <c r="D413" s="1" t="s">
        <v>1250</v>
      </c>
      <c r="E413" s="1" t="s">
        <v>1251</v>
      </c>
      <c r="F413" s="1" t="s">
        <v>1252</v>
      </c>
      <c r="G413" s="1" t="s">
        <v>226</v>
      </c>
      <c r="H413" s="1" t="s">
        <v>22</v>
      </c>
      <c r="I413" s="2">
        <v>3</v>
      </c>
      <c r="J413" s="2">
        <v>1320</v>
      </c>
      <c r="K413" s="2"/>
      <c r="L413" s="1" t="s">
        <v>1253</v>
      </c>
      <c r="M413" s="1" t="s">
        <v>94</v>
      </c>
      <c r="N413" s="1" t="s">
        <v>456</v>
      </c>
      <c r="O413" s="1" t="s">
        <v>71</v>
      </c>
      <c r="P413" s="7">
        <v>2</v>
      </c>
    </row>
    <row r="414" spans="1:16" x14ac:dyDescent="0.3">
      <c r="A414" s="6">
        <v>10404</v>
      </c>
      <c r="B414" s="3" t="s">
        <v>1121</v>
      </c>
      <c r="C414" s="3" t="s">
        <v>1122</v>
      </c>
      <c r="D414" s="3" t="s">
        <v>1123</v>
      </c>
      <c r="E414" s="3" t="s">
        <v>371</v>
      </c>
      <c r="F414" s="3" t="s">
        <v>209</v>
      </c>
      <c r="G414" s="3" t="s">
        <v>112</v>
      </c>
      <c r="H414" s="3" t="s">
        <v>83</v>
      </c>
      <c r="I414" s="4">
        <v>3</v>
      </c>
      <c r="J414" s="4">
        <v>16964</v>
      </c>
      <c r="K414" s="4">
        <v>5</v>
      </c>
      <c r="L414" s="3" t="s">
        <v>821</v>
      </c>
      <c r="M414" s="3" t="s">
        <v>101</v>
      </c>
      <c r="N414" s="3" t="s">
        <v>70</v>
      </c>
      <c r="O414" s="3" t="s">
        <v>45</v>
      </c>
      <c r="P414" s="8">
        <v>4</v>
      </c>
    </row>
    <row r="415" spans="1:16" x14ac:dyDescent="0.3">
      <c r="A415" s="5">
        <v>10405</v>
      </c>
      <c r="B415" s="1" t="s">
        <v>1282</v>
      </c>
      <c r="C415" s="1" t="s">
        <v>1283</v>
      </c>
      <c r="D415" s="1"/>
      <c r="E415" s="1" t="s">
        <v>269</v>
      </c>
      <c r="F415" s="1" t="s">
        <v>288</v>
      </c>
      <c r="G415" s="1" t="s">
        <v>231</v>
      </c>
      <c r="H415" s="1" t="s">
        <v>83</v>
      </c>
      <c r="I415" s="2">
        <v>3</v>
      </c>
      <c r="J415" s="2">
        <v>2792</v>
      </c>
      <c r="K415" s="2"/>
      <c r="L415" s="1" t="s">
        <v>955</v>
      </c>
      <c r="M415" s="1" t="s">
        <v>78</v>
      </c>
      <c r="N415" s="1" t="s">
        <v>70</v>
      </c>
      <c r="O415" s="1" t="s">
        <v>174</v>
      </c>
      <c r="P415" s="7">
        <v>4</v>
      </c>
    </row>
    <row r="416" spans="1:16" x14ac:dyDescent="0.3">
      <c r="A416" s="6">
        <v>10406</v>
      </c>
      <c r="B416" s="3" t="s">
        <v>561</v>
      </c>
      <c r="C416" s="3" t="s">
        <v>47</v>
      </c>
      <c r="D416" s="3" t="s">
        <v>562</v>
      </c>
      <c r="E416" s="3" t="s">
        <v>123</v>
      </c>
      <c r="F416" s="3" t="s">
        <v>563</v>
      </c>
      <c r="G416" s="3" t="s">
        <v>411</v>
      </c>
      <c r="H416" s="3" t="s">
        <v>83</v>
      </c>
      <c r="I416" s="4">
        <v>3</v>
      </c>
      <c r="J416" s="4">
        <v>50372</v>
      </c>
      <c r="K416" s="4"/>
      <c r="L416" s="3" t="s">
        <v>564</v>
      </c>
      <c r="M416" s="3" t="s">
        <v>78</v>
      </c>
      <c r="N416" s="3" t="s">
        <v>25</v>
      </c>
      <c r="O416" s="3" t="s">
        <v>71</v>
      </c>
      <c r="P416" s="8">
        <v>4</v>
      </c>
    </row>
    <row r="417" spans="1:16" x14ac:dyDescent="0.3">
      <c r="A417" s="6">
        <v>10407</v>
      </c>
      <c r="B417" s="3" t="s">
        <v>741</v>
      </c>
      <c r="C417" s="3" t="s">
        <v>742</v>
      </c>
      <c r="D417" s="3" t="s">
        <v>743</v>
      </c>
      <c r="E417" s="3" t="s">
        <v>154</v>
      </c>
      <c r="F417" s="3" t="s">
        <v>98</v>
      </c>
      <c r="G417" s="3" t="s">
        <v>136</v>
      </c>
      <c r="H417" s="3" t="s">
        <v>22</v>
      </c>
      <c r="I417" s="4">
        <v>2</v>
      </c>
      <c r="J417" s="4">
        <v>977</v>
      </c>
      <c r="K417" s="4">
        <v>20</v>
      </c>
      <c r="L417" s="3" t="s">
        <v>744</v>
      </c>
      <c r="M417" s="3" t="s">
        <v>69</v>
      </c>
      <c r="N417" s="3" t="s">
        <v>25</v>
      </c>
      <c r="O417" s="3" t="s">
        <v>71</v>
      </c>
      <c r="P417" s="8">
        <v>2</v>
      </c>
    </row>
    <row r="418" spans="1:16" x14ac:dyDescent="0.3">
      <c r="A418" s="6">
        <v>10408</v>
      </c>
      <c r="B418" s="3" t="s">
        <v>858</v>
      </c>
      <c r="C418" s="3" t="s">
        <v>245</v>
      </c>
      <c r="D418" s="3" t="s">
        <v>1562</v>
      </c>
      <c r="E418" s="3" t="s">
        <v>677</v>
      </c>
      <c r="F418" s="3" t="s">
        <v>66</v>
      </c>
      <c r="G418" s="3" t="s">
        <v>1541</v>
      </c>
      <c r="H418" s="3" t="s">
        <v>22</v>
      </c>
      <c r="I418" s="4">
        <v>5</v>
      </c>
      <c r="J418" s="4">
        <v>1562</v>
      </c>
      <c r="K418" s="4">
        <v>0</v>
      </c>
      <c r="L418" s="3" t="s">
        <v>1563</v>
      </c>
      <c r="M418" s="3" t="s">
        <v>78</v>
      </c>
      <c r="N418" s="3" t="s">
        <v>25</v>
      </c>
      <c r="O418" s="3" t="s">
        <v>45</v>
      </c>
      <c r="P418" s="8">
        <v>1</v>
      </c>
    </row>
    <row r="419" spans="1:16" x14ac:dyDescent="0.3">
      <c r="A419" s="5">
        <v>10409</v>
      </c>
      <c r="B419" s="1" t="s">
        <v>1062</v>
      </c>
      <c r="C419" s="1" t="s">
        <v>224</v>
      </c>
      <c r="D419" s="1" t="s">
        <v>1063</v>
      </c>
      <c r="E419" s="1" t="s">
        <v>197</v>
      </c>
      <c r="F419" s="1" t="s">
        <v>191</v>
      </c>
      <c r="G419" s="1" t="s">
        <v>151</v>
      </c>
      <c r="H419" s="1" t="s">
        <v>143</v>
      </c>
      <c r="I419" s="2">
        <v>3</v>
      </c>
      <c r="J419" s="2">
        <v>497</v>
      </c>
      <c r="K419" s="2">
        <v>20</v>
      </c>
      <c r="L419" s="1" t="s">
        <v>1064</v>
      </c>
      <c r="M419" s="1" t="s">
        <v>69</v>
      </c>
      <c r="N419" s="1" t="s">
        <v>119</v>
      </c>
      <c r="O419" s="1" t="s">
        <v>53</v>
      </c>
      <c r="P419" s="7">
        <v>5</v>
      </c>
    </row>
    <row r="420" spans="1:16" x14ac:dyDescent="0.3">
      <c r="A420" s="6">
        <v>10410</v>
      </c>
      <c r="B420" s="3" t="s">
        <v>1014</v>
      </c>
      <c r="C420" s="3" t="s">
        <v>515</v>
      </c>
      <c r="D420" s="3" t="s">
        <v>1015</v>
      </c>
      <c r="E420" s="3" t="s">
        <v>258</v>
      </c>
      <c r="F420" s="3" t="s">
        <v>332</v>
      </c>
      <c r="G420" s="3" t="s">
        <v>242</v>
      </c>
      <c r="H420" s="3" t="s">
        <v>83</v>
      </c>
      <c r="I420" s="4">
        <v>5</v>
      </c>
      <c r="J420" s="4">
        <v>18558</v>
      </c>
      <c r="K420" s="4">
        <v>15</v>
      </c>
      <c r="L420" s="3" t="s">
        <v>1016</v>
      </c>
      <c r="M420" s="3" t="s">
        <v>200</v>
      </c>
      <c r="N420" s="3" t="s">
        <v>25</v>
      </c>
      <c r="O420" s="3" t="s">
        <v>53</v>
      </c>
      <c r="P420" s="8"/>
    </row>
    <row r="421" spans="1:16" x14ac:dyDescent="0.3">
      <c r="A421" s="5">
        <v>10411</v>
      </c>
      <c r="B421" s="1" t="s">
        <v>1560</v>
      </c>
      <c r="C421" s="1"/>
      <c r="D421" s="1" t="s">
        <v>1561</v>
      </c>
      <c r="E421" s="1" t="s">
        <v>57</v>
      </c>
      <c r="F421" s="1" t="s">
        <v>58</v>
      </c>
      <c r="G421" s="1" t="s">
        <v>322</v>
      </c>
      <c r="H421" s="1" t="s">
        <v>83</v>
      </c>
      <c r="I421" s="2">
        <v>2</v>
      </c>
      <c r="J421" s="2">
        <v>4997</v>
      </c>
      <c r="K421" s="2"/>
      <c r="L421" s="1" t="s">
        <v>828</v>
      </c>
      <c r="M421" s="1" t="s">
        <v>43</v>
      </c>
      <c r="N421" s="1" t="s">
        <v>25</v>
      </c>
      <c r="O421" s="1" t="s">
        <v>53</v>
      </c>
      <c r="P421" s="7"/>
    </row>
    <row r="422" spans="1:16" x14ac:dyDescent="0.3">
      <c r="A422" s="6">
        <v>10412</v>
      </c>
      <c r="B422" s="3" t="s">
        <v>661</v>
      </c>
      <c r="C422" s="3" t="s">
        <v>662</v>
      </c>
      <c r="D422" s="3" t="s">
        <v>1414</v>
      </c>
      <c r="E422" s="3" t="s">
        <v>57</v>
      </c>
      <c r="F422" s="3" t="s">
        <v>20</v>
      </c>
      <c r="G422" s="3" t="s">
        <v>375</v>
      </c>
      <c r="H422" s="3" t="s">
        <v>83</v>
      </c>
      <c r="I422" s="4">
        <v>3</v>
      </c>
      <c r="J422" s="4">
        <v>16988</v>
      </c>
      <c r="K422" s="4"/>
      <c r="L422" s="3" t="s">
        <v>1415</v>
      </c>
      <c r="M422" s="3" t="s">
        <v>32</v>
      </c>
      <c r="N422" s="3" t="s">
        <v>25</v>
      </c>
      <c r="O422" s="3" t="s">
        <v>34</v>
      </c>
      <c r="P422" s="8">
        <v>1</v>
      </c>
    </row>
    <row r="423" spans="1:16" x14ac:dyDescent="0.3">
      <c r="A423" s="6">
        <v>10413</v>
      </c>
      <c r="B423" s="3" t="s">
        <v>62</v>
      </c>
      <c r="C423" s="3" t="s">
        <v>63</v>
      </c>
      <c r="D423" s="3" t="s">
        <v>648</v>
      </c>
      <c r="E423" s="3" t="s">
        <v>111</v>
      </c>
      <c r="F423" s="3" t="s">
        <v>117</v>
      </c>
      <c r="G423" s="3" t="s">
        <v>649</v>
      </c>
      <c r="H423" s="3" t="s">
        <v>83</v>
      </c>
      <c r="I423" s="4">
        <v>5</v>
      </c>
      <c r="J423" s="4">
        <v>22950</v>
      </c>
      <c r="K423" s="4">
        <v>5</v>
      </c>
      <c r="L423" s="3" t="s">
        <v>650</v>
      </c>
      <c r="M423" s="3" t="s">
        <v>32</v>
      </c>
      <c r="N423" s="3" t="s">
        <v>44</v>
      </c>
      <c r="O423" s="3" t="s">
        <v>174</v>
      </c>
      <c r="P423" s="8">
        <v>4</v>
      </c>
    </row>
    <row r="424" spans="1:16" x14ac:dyDescent="0.3">
      <c r="A424" s="5">
        <v>10414</v>
      </c>
      <c r="B424" s="1" t="s">
        <v>62</v>
      </c>
      <c r="C424" s="1" t="s">
        <v>63</v>
      </c>
      <c r="D424" s="1" t="s">
        <v>153</v>
      </c>
      <c r="E424" s="1" t="s">
        <v>154</v>
      </c>
      <c r="F424" s="1" t="s">
        <v>98</v>
      </c>
      <c r="G424" s="1" t="s">
        <v>155</v>
      </c>
      <c r="H424" s="1" t="s">
        <v>92</v>
      </c>
      <c r="I424" s="2">
        <v>5</v>
      </c>
      <c r="J424" s="2">
        <v>1463</v>
      </c>
      <c r="K424" s="2">
        <v>10</v>
      </c>
      <c r="L424" s="1" t="s">
        <v>156</v>
      </c>
      <c r="M424" s="1" t="s">
        <v>157</v>
      </c>
      <c r="N424" s="1" t="s">
        <v>70</v>
      </c>
      <c r="O424" s="1"/>
      <c r="P424" s="7">
        <v>5</v>
      </c>
    </row>
    <row r="425" spans="1:16" x14ac:dyDescent="0.3">
      <c r="A425" s="5">
        <v>10415</v>
      </c>
      <c r="B425" s="1" t="s">
        <v>1600</v>
      </c>
      <c r="C425" s="1" t="s">
        <v>670</v>
      </c>
      <c r="D425" s="1" t="s">
        <v>1601</v>
      </c>
      <c r="E425" s="1" t="s">
        <v>89</v>
      </c>
      <c r="F425" s="1" t="s">
        <v>1602</v>
      </c>
      <c r="G425" s="1" t="s">
        <v>161</v>
      </c>
      <c r="H425" s="1" t="s">
        <v>83</v>
      </c>
      <c r="I425" s="2">
        <v>3</v>
      </c>
      <c r="J425" s="2">
        <v>16335</v>
      </c>
      <c r="K425" s="2"/>
      <c r="L425" s="1" t="s">
        <v>1603</v>
      </c>
      <c r="M425" s="1" t="s">
        <v>69</v>
      </c>
      <c r="N425" s="1" t="s">
        <v>25</v>
      </c>
      <c r="O425" s="1" t="s">
        <v>71</v>
      </c>
      <c r="P425" s="7">
        <v>2</v>
      </c>
    </row>
    <row r="426" spans="1:16" x14ac:dyDescent="0.3">
      <c r="A426" s="6">
        <v>10416</v>
      </c>
      <c r="B426" s="3" t="s">
        <v>1184</v>
      </c>
      <c r="C426" s="3" t="s">
        <v>1185</v>
      </c>
      <c r="D426" s="3" t="s">
        <v>1502</v>
      </c>
      <c r="E426" s="3" t="s">
        <v>154</v>
      </c>
      <c r="F426" s="3" t="s">
        <v>98</v>
      </c>
      <c r="G426" s="3" t="s">
        <v>112</v>
      </c>
      <c r="H426" s="3" t="s">
        <v>83</v>
      </c>
      <c r="I426" s="4">
        <v>3</v>
      </c>
      <c r="J426" s="4">
        <v>32638</v>
      </c>
      <c r="K426" s="4"/>
      <c r="L426" s="3" t="s">
        <v>1503</v>
      </c>
      <c r="M426" s="3" t="s">
        <v>560</v>
      </c>
      <c r="N426" s="3" t="s">
        <v>25</v>
      </c>
      <c r="O426" s="3" t="s">
        <v>71</v>
      </c>
      <c r="P426" s="8">
        <v>5</v>
      </c>
    </row>
    <row r="427" spans="1:16" x14ac:dyDescent="0.3">
      <c r="A427" s="5">
        <v>10417</v>
      </c>
      <c r="B427" s="1" t="s">
        <v>1424</v>
      </c>
      <c r="C427" s="1" t="s">
        <v>1030</v>
      </c>
      <c r="D427" s="1" t="s">
        <v>1425</v>
      </c>
      <c r="E427" s="1" t="s">
        <v>38</v>
      </c>
      <c r="F427" s="1" t="s">
        <v>429</v>
      </c>
      <c r="G427" s="1" t="s">
        <v>285</v>
      </c>
      <c r="H427" s="1" t="s">
        <v>92</v>
      </c>
      <c r="I427" s="2">
        <v>3</v>
      </c>
      <c r="J427" s="2">
        <v>1207</v>
      </c>
      <c r="K427" s="2">
        <v>20</v>
      </c>
      <c r="L427" s="1" t="s">
        <v>1144</v>
      </c>
      <c r="M427" s="1" t="s">
        <v>101</v>
      </c>
      <c r="N427" s="1" t="s">
        <v>70</v>
      </c>
      <c r="O427" s="1" t="s">
        <v>71</v>
      </c>
      <c r="P427" s="7">
        <v>3</v>
      </c>
    </row>
    <row r="428" spans="1:16" x14ac:dyDescent="0.3">
      <c r="A428" s="6">
        <v>10418</v>
      </c>
      <c r="B428" s="3" t="s">
        <v>490</v>
      </c>
      <c r="C428" s="3"/>
      <c r="D428" s="3" t="s">
        <v>684</v>
      </c>
      <c r="E428" s="3" t="s">
        <v>123</v>
      </c>
      <c r="F428" s="3" t="s">
        <v>90</v>
      </c>
      <c r="G428" s="3" t="s">
        <v>280</v>
      </c>
      <c r="H428" s="3" t="s">
        <v>41</v>
      </c>
      <c r="I428" s="4">
        <v>2</v>
      </c>
      <c r="J428" s="4">
        <v>83</v>
      </c>
      <c r="K428" s="4">
        <v>20</v>
      </c>
      <c r="L428" s="3" t="s">
        <v>685</v>
      </c>
      <c r="M428" s="3" t="s">
        <v>145</v>
      </c>
      <c r="N428" s="3" t="s">
        <v>33</v>
      </c>
      <c r="O428" s="3" t="s">
        <v>71</v>
      </c>
      <c r="P428" s="8"/>
    </row>
    <row r="429" spans="1:16" x14ac:dyDescent="0.3">
      <c r="A429" s="5">
        <v>10419</v>
      </c>
      <c r="B429" s="1" t="s">
        <v>1432</v>
      </c>
      <c r="C429" s="1" t="s">
        <v>224</v>
      </c>
      <c r="D429" s="1" t="s">
        <v>1433</v>
      </c>
      <c r="E429" s="1" t="s">
        <v>273</v>
      </c>
      <c r="F429" s="1" t="s">
        <v>50</v>
      </c>
      <c r="G429" s="1" t="s">
        <v>167</v>
      </c>
      <c r="H429" s="1" t="s">
        <v>143</v>
      </c>
      <c r="I429" s="2">
        <v>3</v>
      </c>
      <c r="J429" s="2">
        <v>269</v>
      </c>
      <c r="K429" s="2"/>
      <c r="L429" s="1" t="s">
        <v>1434</v>
      </c>
      <c r="M429" s="1" t="s">
        <v>24</v>
      </c>
      <c r="N429" s="1" t="s">
        <v>70</v>
      </c>
      <c r="O429" s="1" t="s">
        <v>34</v>
      </c>
      <c r="P429" s="7">
        <v>5</v>
      </c>
    </row>
    <row r="430" spans="1:16" x14ac:dyDescent="0.3">
      <c r="A430" s="6">
        <v>10420</v>
      </c>
      <c r="B430" s="3" t="s">
        <v>158</v>
      </c>
      <c r="C430" s="3" t="s">
        <v>159</v>
      </c>
      <c r="D430" s="3" t="s">
        <v>160</v>
      </c>
      <c r="E430" s="3" t="s">
        <v>65</v>
      </c>
      <c r="F430" s="3" t="s">
        <v>150</v>
      </c>
      <c r="G430" s="3" t="s">
        <v>161</v>
      </c>
      <c r="H430" s="3" t="s">
        <v>83</v>
      </c>
      <c r="I430" s="4">
        <v>5</v>
      </c>
      <c r="J430" s="4">
        <v>21523</v>
      </c>
      <c r="K430" s="4"/>
      <c r="L430" s="3" t="s">
        <v>162</v>
      </c>
      <c r="M430" s="3" t="s">
        <v>78</v>
      </c>
      <c r="N430" s="3" t="s">
        <v>33</v>
      </c>
      <c r="O430" s="3" t="s">
        <v>34</v>
      </c>
      <c r="P430" s="8">
        <v>4</v>
      </c>
    </row>
    <row r="431" spans="1:16" x14ac:dyDescent="0.3">
      <c r="A431" s="5">
        <v>10421</v>
      </c>
      <c r="B431" s="1" t="s">
        <v>1124</v>
      </c>
      <c r="C431" s="1" t="s">
        <v>1125</v>
      </c>
      <c r="D431" s="1" t="s">
        <v>1126</v>
      </c>
      <c r="E431" s="1" t="s">
        <v>558</v>
      </c>
      <c r="F431" s="1" t="s">
        <v>191</v>
      </c>
      <c r="G431" s="1" t="s">
        <v>242</v>
      </c>
      <c r="H431" s="1" t="s">
        <v>83</v>
      </c>
      <c r="I431" s="2">
        <v>3</v>
      </c>
      <c r="J431" s="2">
        <v>16154</v>
      </c>
      <c r="K431" s="2">
        <v>20</v>
      </c>
      <c r="L431" s="1" t="s">
        <v>1127</v>
      </c>
      <c r="M431" s="1" t="s">
        <v>43</v>
      </c>
      <c r="N431" s="1" t="s">
        <v>25</v>
      </c>
      <c r="O431" s="1"/>
      <c r="P431" s="7">
        <v>5</v>
      </c>
    </row>
    <row r="432" spans="1:16" x14ac:dyDescent="0.3">
      <c r="A432" s="6">
        <v>10422</v>
      </c>
      <c r="B432" s="3" t="s">
        <v>310</v>
      </c>
      <c r="C432" s="3" t="s">
        <v>17</v>
      </c>
      <c r="D432" s="3" t="s">
        <v>1081</v>
      </c>
      <c r="E432" s="3" t="s">
        <v>65</v>
      </c>
      <c r="F432" s="3" t="s">
        <v>220</v>
      </c>
      <c r="G432" s="3" t="s">
        <v>40</v>
      </c>
      <c r="H432" s="3" t="s">
        <v>41</v>
      </c>
      <c r="I432" s="4">
        <v>3</v>
      </c>
      <c r="J432" s="4">
        <v>172</v>
      </c>
      <c r="K432" s="4">
        <v>5</v>
      </c>
      <c r="L432" s="3" t="s">
        <v>1082</v>
      </c>
      <c r="M432" s="3" t="s">
        <v>126</v>
      </c>
      <c r="N432" s="3" t="s">
        <v>25</v>
      </c>
      <c r="O432" s="3" t="s">
        <v>45</v>
      </c>
      <c r="P432" s="8">
        <v>5</v>
      </c>
    </row>
    <row r="433" spans="1:16" x14ac:dyDescent="0.3">
      <c r="A433" s="6">
        <v>10423</v>
      </c>
      <c r="B433" s="3" t="s">
        <v>546</v>
      </c>
      <c r="C433" s="3" t="s">
        <v>301</v>
      </c>
      <c r="D433" s="3" t="s">
        <v>547</v>
      </c>
      <c r="E433" s="3" t="s">
        <v>184</v>
      </c>
      <c r="F433" s="3" t="s">
        <v>75</v>
      </c>
      <c r="G433" s="3" t="s">
        <v>124</v>
      </c>
      <c r="H433" s="3" t="s">
        <v>41</v>
      </c>
      <c r="I433" s="4">
        <v>5</v>
      </c>
      <c r="J433" s="4">
        <v>114</v>
      </c>
      <c r="K433" s="4">
        <v>15</v>
      </c>
      <c r="L433" s="3" t="s">
        <v>548</v>
      </c>
      <c r="M433" s="3" t="s">
        <v>94</v>
      </c>
      <c r="N433" s="3" t="s">
        <v>70</v>
      </c>
      <c r="O433" s="3" t="s">
        <v>71</v>
      </c>
      <c r="P433" s="8">
        <v>4</v>
      </c>
    </row>
    <row r="434" spans="1:16" x14ac:dyDescent="0.3">
      <c r="A434" s="5">
        <v>10424</v>
      </c>
      <c r="B434" s="1" t="s">
        <v>725</v>
      </c>
      <c r="C434" s="1" t="s">
        <v>256</v>
      </c>
      <c r="D434" s="1" t="s">
        <v>726</v>
      </c>
      <c r="E434" s="1" t="s">
        <v>258</v>
      </c>
      <c r="F434" s="1" t="s">
        <v>259</v>
      </c>
      <c r="G434" s="1" t="s">
        <v>226</v>
      </c>
      <c r="H434" s="1" t="s">
        <v>22</v>
      </c>
      <c r="I434" s="2">
        <v>3</v>
      </c>
      <c r="J434" s="2">
        <v>1425</v>
      </c>
      <c r="K434" s="2"/>
      <c r="L434" s="1" t="s">
        <v>727</v>
      </c>
      <c r="M434" s="1" t="s">
        <v>24</v>
      </c>
      <c r="N434" s="1" t="s">
        <v>25</v>
      </c>
      <c r="O434" s="1"/>
      <c r="P434" s="7">
        <v>3</v>
      </c>
    </row>
    <row r="435" spans="1:16" x14ac:dyDescent="0.3">
      <c r="A435" s="6">
        <v>10425</v>
      </c>
      <c r="B435" s="3" t="s">
        <v>669</v>
      </c>
      <c r="C435" s="3" t="s">
        <v>670</v>
      </c>
      <c r="D435" s="3"/>
      <c r="E435" s="3" t="s">
        <v>671</v>
      </c>
      <c r="F435" s="3" t="s">
        <v>150</v>
      </c>
      <c r="G435" s="3" t="s">
        <v>672</v>
      </c>
      <c r="H435" s="3" t="s">
        <v>83</v>
      </c>
      <c r="I435" s="4">
        <v>2</v>
      </c>
      <c r="J435" s="4">
        <v>13296</v>
      </c>
      <c r="K435" s="4">
        <v>10</v>
      </c>
      <c r="L435" s="3" t="s">
        <v>673</v>
      </c>
      <c r="M435" s="3" t="s">
        <v>560</v>
      </c>
      <c r="N435" s="3" t="s">
        <v>25</v>
      </c>
      <c r="O435" s="3"/>
      <c r="P435" s="8">
        <v>2</v>
      </c>
    </row>
    <row r="436" spans="1:16" x14ac:dyDescent="0.3">
      <c r="A436" s="6">
        <v>10426</v>
      </c>
      <c r="B436" s="3" t="s">
        <v>745</v>
      </c>
      <c r="C436" s="3" t="s">
        <v>746</v>
      </c>
      <c r="D436" s="3" t="s">
        <v>1070</v>
      </c>
      <c r="E436" s="3" t="s">
        <v>445</v>
      </c>
      <c r="F436" s="3" t="s">
        <v>39</v>
      </c>
      <c r="G436" s="3" t="s">
        <v>76</v>
      </c>
      <c r="H436" s="3" t="s">
        <v>41</v>
      </c>
      <c r="I436" s="4">
        <v>4</v>
      </c>
      <c r="J436" s="4">
        <v>295</v>
      </c>
      <c r="K436" s="4">
        <v>15</v>
      </c>
      <c r="L436" s="3" t="s">
        <v>1071</v>
      </c>
      <c r="M436" s="3" t="s">
        <v>32</v>
      </c>
      <c r="N436" s="3" t="s">
        <v>33</v>
      </c>
      <c r="O436" s="3" t="s">
        <v>53</v>
      </c>
      <c r="P436" s="8">
        <v>3</v>
      </c>
    </row>
    <row r="437" spans="1:16" x14ac:dyDescent="0.3">
      <c r="A437" s="5">
        <v>10427</v>
      </c>
      <c r="B437" s="1" t="s">
        <v>271</v>
      </c>
      <c r="C437" s="1" t="s">
        <v>1157</v>
      </c>
      <c r="D437" s="1" t="s">
        <v>1158</v>
      </c>
      <c r="E437" s="1" t="s">
        <v>19</v>
      </c>
      <c r="F437" s="1" t="s">
        <v>20</v>
      </c>
      <c r="G437" s="1" t="s">
        <v>1159</v>
      </c>
      <c r="H437" s="1" t="s">
        <v>83</v>
      </c>
      <c r="I437" s="2">
        <v>2</v>
      </c>
      <c r="J437" s="2">
        <v>6595</v>
      </c>
      <c r="K437" s="2">
        <v>5</v>
      </c>
      <c r="L437" s="1" t="s">
        <v>1160</v>
      </c>
      <c r="M437" s="1" t="s">
        <v>186</v>
      </c>
      <c r="N437" s="1" t="s">
        <v>119</v>
      </c>
      <c r="O437" s="1" t="s">
        <v>45</v>
      </c>
      <c r="P437" s="7"/>
    </row>
    <row r="438" spans="1:16" x14ac:dyDescent="0.3">
      <c r="A438" s="6">
        <v>10428</v>
      </c>
      <c r="B438" s="3" t="s">
        <v>484</v>
      </c>
      <c r="C438" s="3" t="s">
        <v>485</v>
      </c>
      <c r="D438" s="3"/>
      <c r="E438" s="3" t="s">
        <v>178</v>
      </c>
      <c r="F438" s="3" t="s">
        <v>274</v>
      </c>
      <c r="G438" s="3" t="s">
        <v>161</v>
      </c>
      <c r="H438" s="3" t="s">
        <v>83</v>
      </c>
      <c r="I438" s="4">
        <v>4</v>
      </c>
      <c r="J438" s="4">
        <v>22038</v>
      </c>
      <c r="K438" s="4">
        <v>15</v>
      </c>
      <c r="L438" s="3" t="s">
        <v>486</v>
      </c>
      <c r="M438" s="3" t="s">
        <v>186</v>
      </c>
      <c r="N438" s="3" t="s">
        <v>70</v>
      </c>
      <c r="O438" s="3" t="s">
        <v>71</v>
      </c>
      <c r="P438" s="8"/>
    </row>
    <row r="439" spans="1:16" x14ac:dyDescent="0.3">
      <c r="A439" s="6">
        <v>10429</v>
      </c>
      <c r="B439" s="3" t="s">
        <v>911</v>
      </c>
      <c r="C439" s="3" t="s">
        <v>912</v>
      </c>
      <c r="D439" s="3" t="s">
        <v>913</v>
      </c>
      <c r="E439" s="3" t="s">
        <v>273</v>
      </c>
      <c r="F439" s="3" t="s">
        <v>50</v>
      </c>
      <c r="G439" s="3" t="s">
        <v>285</v>
      </c>
      <c r="H439" s="3" t="s">
        <v>92</v>
      </c>
      <c r="I439" s="4">
        <v>2</v>
      </c>
      <c r="J439" s="4">
        <v>424</v>
      </c>
      <c r="K439" s="4">
        <v>10</v>
      </c>
      <c r="L439" s="3" t="s">
        <v>914</v>
      </c>
      <c r="M439" s="3" t="s">
        <v>24</v>
      </c>
      <c r="N439" s="3" t="s">
        <v>33</v>
      </c>
      <c r="O439" s="3" t="s">
        <v>45</v>
      </c>
      <c r="P439" s="8"/>
    </row>
    <row r="440" spans="1:16" x14ac:dyDescent="0.3">
      <c r="A440" s="6">
        <v>10430</v>
      </c>
      <c r="B440" s="3" t="s">
        <v>1621</v>
      </c>
      <c r="C440" s="3" t="s">
        <v>1622</v>
      </c>
      <c r="D440" s="3" t="s">
        <v>1623</v>
      </c>
      <c r="E440" s="3" t="s">
        <v>738</v>
      </c>
      <c r="F440" s="3" t="s">
        <v>150</v>
      </c>
      <c r="G440" s="3" t="s">
        <v>298</v>
      </c>
      <c r="H440" s="3" t="s">
        <v>22</v>
      </c>
      <c r="I440" s="4">
        <v>5</v>
      </c>
      <c r="J440" s="4">
        <v>1275</v>
      </c>
      <c r="K440" s="4"/>
      <c r="L440" s="3" t="s">
        <v>1624</v>
      </c>
      <c r="M440" s="3" t="s">
        <v>157</v>
      </c>
      <c r="N440" s="3" t="s">
        <v>25</v>
      </c>
      <c r="O440" s="3" t="s">
        <v>174</v>
      </c>
      <c r="P440" s="8">
        <v>5</v>
      </c>
    </row>
    <row r="441" spans="1:16" x14ac:dyDescent="0.3">
      <c r="A441" s="6">
        <v>10431</v>
      </c>
      <c r="B441" s="3" t="s">
        <v>1315</v>
      </c>
      <c r="C441" s="3"/>
      <c r="D441" s="3" t="s">
        <v>1417</v>
      </c>
      <c r="E441" s="3" t="s">
        <v>671</v>
      </c>
      <c r="F441" s="3" t="s">
        <v>66</v>
      </c>
      <c r="G441" s="3" t="s">
        <v>106</v>
      </c>
      <c r="H441" s="3" t="s">
        <v>83</v>
      </c>
      <c r="I441" s="4">
        <v>4</v>
      </c>
      <c r="J441" s="4">
        <v>12569</v>
      </c>
      <c r="K441" s="4">
        <v>20</v>
      </c>
      <c r="L441" s="3" t="s">
        <v>1418</v>
      </c>
      <c r="M441" s="3" t="s">
        <v>560</v>
      </c>
      <c r="N441" s="3" t="s">
        <v>25</v>
      </c>
      <c r="O441" s="3" t="s">
        <v>34</v>
      </c>
      <c r="P441" s="8">
        <v>1</v>
      </c>
    </row>
    <row r="442" spans="1:16" x14ac:dyDescent="0.3">
      <c r="A442" s="6">
        <v>10431</v>
      </c>
      <c r="B442" s="3" t="s">
        <v>1315</v>
      </c>
      <c r="C442" s="3"/>
      <c r="D442" s="3" t="s">
        <v>1417</v>
      </c>
      <c r="E442" s="3" t="s">
        <v>671</v>
      </c>
      <c r="F442" s="3" t="s">
        <v>66</v>
      </c>
      <c r="G442" s="3" t="s">
        <v>106</v>
      </c>
      <c r="H442" s="3" t="s">
        <v>83</v>
      </c>
      <c r="I442" s="4">
        <v>4</v>
      </c>
      <c r="J442" s="4">
        <v>12569</v>
      </c>
      <c r="K442" s="4">
        <v>20</v>
      </c>
      <c r="L442" s="3" t="s">
        <v>1418</v>
      </c>
      <c r="M442" s="3" t="s">
        <v>560</v>
      </c>
      <c r="N442" s="3" t="s">
        <v>25</v>
      </c>
      <c r="O442" s="3" t="s">
        <v>34</v>
      </c>
      <c r="P442" s="8">
        <v>1</v>
      </c>
    </row>
    <row r="443" spans="1:16" x14ac:dyDescent="0.3">
      <c r="A443" s="5">
        <v>10432</v>
      </c>
      <c r="B443" s="1" t="s">
        <v>1540</v>
      </c>
      <c r="C443" s="1" t="s">
        <v>330</v>
      </c>
      <c r="D443" s="1"/>
      <c r="E443" s="1" t="s">
        <v>117</v>
      </c>
      <c r="F443" s="1" t="s">
        <v>111</v>
      </c>
      <c r="G443" s="1" t="s">
        <v>1541</v>
      </c>
      <c r="H443" s="1" t="s">
        <v>22</v>
      </c>
      <c r="I443" s="2">
        <v>2</v>
      </c>
      <c r="J443" s="2">
        <v>1424</v>
      </c>
      <c r="K443" s="2">
        <v>20</v>
      </c>
      <c r="L443" s="1" t="s">
        <v>1542</v>
      </c>
      <c r="M443" s="1" t="s">
        <v>560</v>
      </c>
      <c r="N443" s="1" t="s">
        <v>25</v>
      </c>
      <c r="O443" s="1"/>
      <c r="P443" s="7">
        <v>2</v>
      </c>
    </row>
    <row r="444" spans="1:16" x14ac:dyDescent="0.3">
      <c r="A444" s="6">
        <v>10433</v>
      </c>
      <c r="B444" s="3" t="s">
        <v>870</v>
      </c>
      <c r="C444" s="3" t="s">
        <v>871</v>
      </c>
      <c r="D444" s="3" t="s">
        <v>1371</v>
      </c>
      <c r="E444" s="3" t="s">
        <v>172</v>
      </c>
      <c r="F444" s="3" t="s">
        <v>150</v>
      </c>
      <c r="G444" s="3" t="s">
        <v>204</v>
      </c>
      <c r="H444" s="3" t="s">
        <v>143</v>
      </c>
      <c r="I444" s="4">
        <v>5</v>
      </c>
      <c r="J444" s="4">
        <v>553</v>
      </c>
      <c r="K444" s="4">
        <v>5</v>
      </c>
      <c r="L444" s="3" t="s">
        <v>1365</v>
      </c>
      <c r="M444" s="3" t="s">
        <v>78</v>
      </c>
      <c r="N444" s="3" t="s">
        <v>33</v>
      </c>
      <c r="O444" s="3" t="s">
        <v>174</v>
      </c>
      <c r="P444" s="8">
        <v>3</v>
      </c>
    </row>
    <row r="445" spans="1:16" x14ac:dyDescent="0.3">
      <c r="A445" s="5">
        <v>10434</v>
      </c>
      <c r="B445" s="1" t="s">
        <v>72</v>
      </c>
      <c r="C445" s="1" t="s">
        <v>502</v>
      </c>
      <c r="D445" s="1" t="s">
        <v>503</v>
      </c>
      <c r="E445" s="1" t="s">
        <v>130</v>
      </c>
      <c r="F445" s="1" t="s">
        <v>274</v>
      </c>
      <c r="G445" s="1" t="s">
        <v>67</v>
      </c>
      <c r="H445" s="1" t="s">
        <v>41</v>
      </c>
      <c r="I445" s="2">
        <v>2</v>
      </c>
      <c r="J445" s="2">
        <v>368</v>
      </c>
      <c r="K445" s="2">
        <v>5</v>
      </c>
      <c r="L445" s="1" t="s">
        <v>504</v>
      </c>
      <c r="M445" s="1" t="s">
        <v>186</v>
      </c>
      <c r="N445" s="1" t="s">
        <v>25</v>
      </c>
      <c r="O445" s="1" t="s">
        <v>53</v>
      </c>
      <c r="P445" s="7">
        <v>1</v>
      </c>
    </row>
    <row r="446" spans="1:16" x14ac:dyDescent="0.3">
      <c r="A446" s="5">
        <v>10435</v>
      </c>
      <c r="B446" s="1" t="s">
        <v>707</v>
      </c>
      <c r="C446" s="1" t="s">
        <v>708</v>
      </c>
      <c r="D446" s="1" t="s">
        <v>784</v>
      </c>
      <c r="E446" s="1" t="s">
        <v>111</v>
      </c>
      <c r="F446" s="1" t="s">
        <v>111</v>
      </c>
      <c r="G446" s="1" t="s">
        <v>231</v>
      </c>
      <c r="H446" s="1" t="s">
        <v>83</v>
      </c>
      <c r="I446" s="2">
        <v>3</v>
      </c>
      <c r="J446" s="2">
        <v>4046</v>
      </c>
      <c r="K446" s="2">
        <v>15</v>
      </c>
      <c r="L446" s="1" t="s">
        <v>281</v>
      </c>
      <c r="M446" s="1" t="s">
        <v>43</v>
      </c>
      <c r="N446" s="1" t="s">
        <v>70</v>
      </c>
      <c r="O446" s="1" t="s">
        <v>174</v>
      </c>
      <c r="P446" s="7">
        <v>5</v>
      </c>
    </row>
    <row r="447" spans="1:16" x14ac:dyDescent="0.3">
      <c r="A447" s="5">
        <v>10436</v>
      </c>
      <c r="B447" s="1" t="s">
        <v>804</v>
      </c>
      <c r="C447" s="1" t="s">
        <v>306</v>
      </c>
      <c r="D447" s="1" t="s">
        <v>805</v>
      </c>
      <c r="E447" s="1" t="s">
        <v>343</v>
      </c>
      <c r="F447" s="1" t="s">
        <v>50</v>
      </c>
      <c r="G447" s="1" t="s">
        <v>460</v>
      </c>
      <c r="H447" s="1" t="s">
        <v>92</v>
      </c>
      <c r="I447" s="2">
        <v>3</v>
      </c>
      <c r="J447" s="2">
        <v>1410</v>
      </c>
      <c r="K447" s="2">
        <v>20</v>
      </c>
      <c r="L447" s="1" t="s">
        <v>806</v>
      </c>
      <c r="M447" s="1" t="s">
        <v>78</v>
      </c>
      <c r="N447" s="1" t="s">
        <v>25</v>
      </c>
      <c r="O447" s="1" t="s">
        <v>34</v>
      </c>
      <c r="P447" s="7">
        <v>2</v>
      </c>
    </row>
    <row r="448" spans="1:16" x14ac:dyDescent="0.3">
      <c r="A448" s="5">
        <v>10437</v>
      </c>
      <c r="B448" s="1" t="s">
        <v>1454</v>
      </c>
      <c r="C448" s="1" t="s">
        <v>315</v>
      </c>
      <c r="D448" s="1" t="s">
        <v>1455</v>
      </c>
      <c r="E448" s="1" t="s">
        <v>279</v>
      </c>
      <c r="F448" s="1" t="s">
        <v>776</v>
      </c>
      <c r="G448" s="1" t="s">
        <v>322</v>
      </c>
      <c r="H448" s="1" t="s">
        <v>83</v>
      </c>
      <c r="I448" s="2">
        <v>1</v>
      </c>
      <c r="J448" s="2">
        <v>4519</v>
      </c>
      <c r="K448" s="2">
        <v>20</v>
      </c>
      <c r="L448" s="1" t="s">
        <v>1456</v>
      </c>
      <c r="M448" s="1" t="s">
        <v>94</v>
      </c>
      <c r="N448" s="1" t="s">
        <v>25</v>
      </c>
      <c r="O448" s="1" t="s">
        <v>53</v>
      </c>
      <c r="P448" s="7">
        <v>4</v>
      </c>
    </row>
    <row r="449" spans="1:16" x14ac:dyDescent="0.3">
      <c r="A449" s="6">
        <v>10438</v>
      </c>
      <c r="B449" s="3" t="s">
        <v>351</v>
      </c>
      <c r="C449" s="3"/>
      <c r="D449" s="3" t="s">
        <v>1638</v>
      </c>
      <c r="E449" s="3" t="s">
        <v>97</v>
      </c>
      <c r="F449" s="3" t="s">
        <v>209</v>
      </c>
      <c r="G449" s="3" t="s">
        <v>179</v>
      </c>
      <c r="H449" s="3" t="s">
        <v>60</v>
      </c>
      <c r="I449" s="4">
        <v>2</v>
      </c>
      <c r="J449" s="4">
        <v>644</v>
      </c>
      <c r="K449" s="4"/>
      <c r="L449" s="3" t="s">
        <v>1639</v>
      </c>
      <c r="M449" s="3" t="s">
        <v>560</v>
      </c>
      <c r="N449" s="3" t="s">
        <v>33</v>
      </c>
      <c r="O449" s="3" t="s">
        <v>71</v>
      </c>
      <c r="P449" s="8">
        <v>3</v>
      </c>
    </row>
    <row r="450" spans="1:16" x14ac:dyDescent="0.3">
      <c r="A450" s="5">
        <v>10439</v>
      </c>
      <c r="B450" s="1" t="s">
        <v>1103</v>
      </c>
      <c r="C450" s="1" t="s">
        <v>458</v>
      </c>
      <c r="D450" s="1" t="s">
        <v>1104</v>
      </c>
      <c r="E450" s="1" t="s">
        <v>273</v>
      </c>
      <c r="F450" s="1" t="s">
        <v>58</v>
      </c>
      <c r="G450" s="1" t="s">
        <v>112</v>
      </c>
      <c r="H450" s="1" t="s">
        <v>83</v>
      </c>
      <c r="I450" s="2">
        <v>2</v>
      </c>
      <c r="J450" s="2">
        <v>20023</v>
      </c>
      <c r="K450" s="2"/>
      <c r="L450" s="1" t="s">
        <v>1105</v>
      </c>
      <c r="M450" s="1" t="s">
        <v>69</v>
      </c>
      <c r="N450" s="1" t="s">
        <v>25</v>
      </c>
      <c r="O450" s="1" t="s">
        <v>71</v>
      </c>
      <c r="P450" s="7"/>
    </row>
    <row r="451" spans="1:16" x14ac:dyDescent="0.3">
      <c r="A451" s="6">
        <v>10440</v>
      </c>
      <c r="B451" s="3" t="s">
        <v>1297</v>
      </c>
      <c r="C451" s="3" t="s">
        <v>891</v>
      </c>
      <c r="D451" s="3" t="s">
        <v>1298</v>
      </c>
      <c r="E451" s="3" t="s">
        <v>38</v>
      </c>
      <c r="F451" s="3" t="s">
        <v>886</v>
      </c>
      <c r="G451" s="3" t="s">
        <v>474</v>
      </c>
      <c r="H451" s="3" t="s">
        <v>143</v>
      </c>
      <c r="I451" s="4">
        <v>4</v>
      </c>
      <c r="J451" s="4">
        <v>628</v>
      </c>
      <c r="K451" s="4">
        <v>5</v>
      </c>
      <c r="L451" s="3" t="s">
        <v>540</v>
      </c>
      <c r="M451" s="3" t="s">
        <v>69</v>
      </c>
      <c r="N451" s="3" t="s">
        <v>25</v>
      </c>
      <c r="O451" s="3" t="s">
        <v>45</v>
      </c>
      <c r="P451" s="8"/>
    </row>
    <row r="452" spans="1:16" x14ac:dyDescent="0.3">
      <c r="A452" s="5">
        <v>10441</v>
      </c>
      <c r="B452" s="1" t="s">
        <v>870</v>
      </c>
      <c r="C452" s="1" t="s">
        <v>986</v>
      </c>
      <c r="D452" s="1" t="s">
        <v>987</v>
      </c>
      <c r="E452" s="1" t="s">
        <v>308</v>
      </c>
      <c r="F452" s="1" t="s">
        <v>308</v>
      </c>
      <c r="G452" s="1" t="s">
        <v>298</v>
      </c>
      <c r="H452" s="1" t="s">
        <v>22</v>
      </c>
      <c r="I452" s="2">
        <v>5</v>
      </c>
      <c r="J452" s="2">
        <v>1708</v>
      </c>
      <c r="K452" s="2">
        <v>5</v>
      </c>
      <c r="L452" s="1" t="s">
        <v>988</v>
      </c>
      <c r="M452" s="1" t="s">
        <v>200</v>
      </c>
      <c r="N452" s="1" t="s">
        <v>70</v>
      </c>
      <c r="O452" s="1"/>
      <c r="P452" s="7">
        <v>5</v>
      </c>
    </row>
    <row r="453" spans="1:16" x14ac:dyDescent="0.3">
      <c r="A453" s="5">
        <v>10442</v>
      </c>
      <c r="B453" s="1" t="s">
        <v>394</v>
      </c>
      <c r="C453" s="1" t="s">
        <v>212</v>
      </c>
      <c r="D453" s="1" t="s">
        <v>1412</v>
      </c>
      <c r="E453" s="1" t="s">
        <v>279</v>
      </c>
      <c r="F453" s="1" t="s">
        <v>141</v>
      </c>
      <c r="G453" s="1" t="s">
        <v>958</v>
      </c>
      <c r="H453" s="1" t="s">
        <v>83</v>
      </c>
      <c r="I453" s="2">
        <v>4</v>
      </c>
      <c r="J453" s="2">
        <v>24295</v>
      </c>
      <c r="K453" s="2"/>
      <c r="L453" s="1" t="s">
        <v>942</v>
      </c>
      <c r="M453" s="1" t="s">
        <v>101</v>
      </c>
      <c r="N453" s="1" t="s">
        <v>33</v>
      </c>
      <c r="O453" s="1" t="s">
        <v>71</v>
      </c>
      <c r="P453" s="7">
        <v>4</v>
      </c>
    </row>
    <row r="454" spans="1:16" x14ac:dyDescent="0.3">
      <c r="A454" s="6">
        <v>10443</v>
      </c>
      <c r="B454" s="3" t="s">
        <v>661</v>
      </c>
      <c r="C454" s="3" t="s">
        <v>662</v>
      </c>
      <c r="D454" s="3" t="s">
        <v>1202</v>
      </c>
      <c r="E454" s="3" t="s">
        <v>279</v>
      </c>
      <c r="F454" s="3" t="s">
        <v>332</v>
      </c>
      <c r="G454" s="3" t="s">
        <v>285</v>
      </c>
      <c r="H454" s="3" t="s">
        <v>92</v>
      </c>
      <c r="I454" s="4">
        <v>4</v>
      </c>
      <c r="J454" s="4">
        <v>895</v>
      </c>
      <c r="K454" s="4">
        <v>20</v>
      </c>
      <c r="L454" s="3" t="s">
        <v>1203</v>
      </c>
      <c r="M454" s="3" t="s">
        <v>24</v>
      </c>
      <c r="N454" s="3" t="s">
        <v>44</v>
      </c>
      <c r="O454" s="3" t="s">
        <v>71</v>
      </c>
      <c r="P454" s="8">
        <v>1</v>
      </c>
    </row>
    <row r="455" spans="1:16" x14ac:dyDescent="0.3">
      <c r="A455" s="6">
        <v>10444</v>
      </c>
      <c r="B455" s="3" t="s">
        <v>973</v>
      </c>
      <c r="C455" s="3"/>
      <c r="D455" s="3" t="s">
        <v>974</v>
      </c>
      <c r="E455" s="3" t="s">
        <v>428</v>
      </c>
      <c r="F455" s="3" t="s">
        <v>39</v>
      </c>
      <c r="G455" s="3" t="s">
        <v>368</v>
      </c>
      <c r="H455" s="3" t="s">
        <v>22</v>
      </c>
      <c r="I455" s="4">
        <v>3</v>
      </c>
      <c r="J455" s="4">
        <v>2196</v>
      </c>
      <c r="K455" s="4"/>
      <c r="L455" s="3" t="s">
        <v>513</v>
      </c>
      <c r="M455" s="3" t="s">
        <v>78</v>
      </c>
      <c r="N455" s="3" t="s">
        <v>25</v>
      </c>
      <c r="O455" s="3" t="s">
        <v>53</v>
      </c>
      <c r="P455" s="8">
        <v>5</v>
      </c>
    </row>
    <row r="456" spans="1:16" x14ac:dyDescent="0.3">
      <c r="A456" s="5">
        <v>10445</v>
      </c>
      <c r="B456" s="1" t="s">
        <v>617</v>
      </c>
      <c r="C456" s="1" t="s">
        <v>618</v>
      </c>
      <c r="D456" s="1" t="s">
        <v>619</v>
      </c>
      <c r="E456" s="1" t="s">
        <v>38</v>
      </c>
      <c r="F456" s="1" t="s">
        <v>508</v>
      </c>
      <c r="G456" s="1" t="s">
        <v>99</v>
      </c>
      <c r="H456" s="1" t="s">
        <v>92</v>
      </c>
      <c r="I456" s="2">
        <v>2</v>
      </c>
      <c r="J456" s="2">
        <v>2401</v>
      </c>
      <c r="K456" s="2">
        <v>5</v>
      </c>
      <c r="L456" s="1" t="s">
        <v>620</v>
      </c>
      <c r="M456" s="1" t="s">
        <v>186</v>
      </c>
      <c r="N456" s="1" t="s">
        <v>70</v>
      </c>
      <c r="O456" s="1" t="s">
        <v>174</v>
      </c>
      <c r="P456" s="7">
        <v>4</v>
      </c>
    </row>
    <row r="457" spans="1:16" x14ac:dyDescent="0.3">
      <c r="A457" s="5">
        <v>10446</v>
      </c>
      <c r="B457" s="1" t="s">
        <v>399</v>
      </c>
      <c r="C457" s="1"/>
      <c r="D457" s="1" t="s">
        <v>400</v>
      </c>
      <c r="E457" s="1" t="s">
        <v>401</v>
      </c>
      <c r="F457" s="1" t="s">
        <v>58</v>
      </c>
      <c r="G457" s="1" t="s">
        <v>322</v>
      </c>
      <c r="H457" s="1" t="s">
        <v>83</v>
      </c>
      <c r="I457" s="2">
        <v>2</v>
      </c>
      <c r="J457" s="2">
        <v>4040</v>
      </c>
      <c r="K457" s="2">
        <v>15</v>
      </c>
      <c r="L457" s="1" t="s">
        <v>402</v>
      </c>
      <c r="M457" s="1" t="s">
        <v>69</v>
      </c>
      <c r="N457" s="1" t="s">
        <v>33</v>
      </c>
      <c r="O457" s="1" t="s">
        <v>34</v>
      </c>
      <c r="P457" s="7">
        <v>1</v>
      </c>
    </row>
    <row r="458" spans="1:16" x14ac:dyDescent="0.3">
      <c r="A458" s="6">
        <v>10447</v>
      </c>
      <c r="B458" s="3" t="s">
        <v>194</v>
      </c>
      <c r="C458" s="3" t="s">
        <v>195</v>
      </c>
      <c r="D458" s="3" t="s">
        <v>196</v>
      </c>
      <c r="E458" s="3" t="s">
        <v>197</v>
      </c>
      <c r="F458" s="3" t="s">
        <v>191</v>
      </c>
      <c r="G458" s="3" t="s">
        <v>198</v>
      </c>
      <c r="H458" s="3" t="s">
        <v>41</v>
      </c>
      <c r="I458" s="4">
        <v>2</v>
      </c>
      <c r="J458" s="4">
        <v>208</v>
      </c>
      <c r="K458" s="4"/>
      <c r="L458" s="3" t="s">
        <v>199</v>
      </c>
      <c r="M458" s="3" t="s">
        <v>200</v>
      </c>
      <c r="N458" s="3" t="s">
        <v>70</v>
      </c>
      <c r="O458" s="3" t="s">
        <v>34</v>
      </c>
      <c r="P458" s="8">
        <v>3</v>
      </c>
    </row>
    <row r="459" spans="1:16" x14ac:dyDescent="0.3">
      <c r="A459" s="5">
        <v>10448</v>
      </c>
      <c r="B459" s="1" t="s">
        <v>1110</v>
      </c>
      <c r="C459" s="1" t="s">
        <v>757</v>
      </c>
      <c r="D459" s="1" t="s">
        <v>1111</v>
      </c>
      <c r="E459" s="1" t="s">
        <v>391</v>
      </c>
      <c r="F459" s="1" t="s">
        <v>90</v>
      </c>
      <c r="G459" s="1" t="s">
        <v>298</v>
      </c>
      <c r="H459" s="1" t="s">
        <v>22</v>
      </c>
      <c r="I459" s="2">
        <v>4</v>
      </c>
      <c r="J459" s="2">
        <v>2080</v>
      </c>
      <c r="K459" s="2">
        <v>10</v>
      </c>
      <c r="L459" s="1" t="s">
        <v>1112</v>
      </c>
      <c r="M459" s="1" t="s">
        <v>43</v>
      </c>
      <c r="N459" s="1" t="s">
        <v>33</v>
      </c>
      <c r="O459" s="1" t="s">
        <v>34</v>
      </c>
      <c r="P459" s="7"/>
    </row>
    <row r="460" spans="1:16" x14ac:dyDescent="0.3">
      <c r="A460" s="6">
        <v>10449</v>
      </c>
      <c r="B460" s="3" t="s">
        <v>644</v>
      </c>
      <c r="C460" s="3" t="s">
        <v>645</v>
      </c>
      <c r="D460" s="3" t="s">
        <v>1301</v>
      </c>
      <c r="E460" s="3" t="s">
        <v>428</v>
      </c>
      <c r="F460" s="3" t="s">
        <v>39</v>
      </c>
      <c r="G460" s="3" t="s">
        <v>327</v>
      </c>
      <c r="H460" s="3" t="s">
        <v>22</v>
      </c>
      <c r="I460" s="4">
        <v>1</v>
      </c>
      <c r="J460" s="4">
        <v>1364</v>
      </c>
      <c r="K460" s="4">
        <v>0</v>
      </c>
      <c r="L460" s="3" t="s">
        <v>1302</v>
      </c>
      <c r="M460" s="3" t="s">
        <v>32</v>
      </c>
      <c r="N460" s="3" t="s">
        <v>413</v>
      </c>
      <c r="O460" s="3" t="s">
        <v>174</v>
      </c>
      <c r="P460" s="8">
        <v>1</v>
      </c>
    </row>
    <row r="461" spans="1:16" x14ac:dyDescent="0.3">
      <c r="A461" s="5">
        <v>10450</v>
      </c>
      <c r="B461" s="1" t="s">
        <v>890</v>
      </c>
      <c r="C461" s="1" t="s">
        <v>891</v>
      </c>
      <c r="D461" s="1" t="s">
        <v>892</v>
      </c>
      <c r="E461" s="1" t="s">
        <v>893</v>
      </c>
      <c r="F461" s="1" t="s">
        <v>362</v>
      </c>
      <c r="G461" s="1" t="s">
        <v>894</v>
      </c>
      <c r="H461" s="1" t="s">
        <v>92</v>
      </c>
      <c r="I461" s="2">
        <v>2</v>
      </c>
      <c r="J461" s="2">
        <v>2297</v>
      </c>
      <c r="K461" s="2">
        <v>10</v>
      </c>
      <c r="L461" s="1" t="s">
        <v>895</v>
      </c>
      <c r="M461" s="1" t="s">
        <v>69</v>
      </c>
      <c r="N461" s="1" t="s">
        <v>25</v>
      </c>
      <c r="O461" s="1" t="s">
        <v>174</v>
      </c>
      <c r="P461" s="7">
        <v>3</v>
      </c>
    </row>
    <row r="462" spans="1:16" x14ac:dyDescent="0.3">
      <c r="A462" s="5">
        <v>10451</v>
      </c>
      <c r="B462" s="1" t="s">
        <v>345</v>
      </c>
      <c r="C462" s="1" t="s">
        <v>346</v>
      </c>
      <c r="D462" s="1" t="s">
        <v>347</v>
      </c>
      <c r="E462" s="1" t="s">
        <v>65</v>
      </c>
      <c r="F462" s="1" t="s">
        <v>348</v>
      </c>
      <c r="G462" s="1" t="s">
        <v>349</v>
      </c>
      <c r="H462" s="1" t="s">
        <v>92</v>
      </c>
      <c r="I462" s="2">
        <v>3</v>
      </c>
      <c r="J462" s="2">
        <v>1279</v>
      </c>
      <c r="K462" s="2">
        <v>5</v>
      </c>
      <c r="L462" s="1" t="s">
        <v>350</v>
      </c>
      <c r="M462" s="1" t="s">
        <v>94</v>
      </c>
      <c r="N462" s="1" t="s">
        <v>25</v>
      </c>
      <c r="O462" s="1"/>
      <c r="P462" s="7">
        <v>3</v>
      </c>
    </row>
    <row r="463" spans="1:16" x14ac:dyDescent="0.3">
      <c r="A463" s="5">
        <v>10452</v>
      </c>
      <c r="B463" s="1" t="s">
        <v>514</v>
      </c>
      <c r="C463" s="1" t="s">
        <v>515</v>
      </c>
      <c r="D463" s="1" t="s">
        <v>516</v>
      </c>
      <c r="E463" s="1" t="s">
        <v>279</v>
      </c>
      <c r="F463" s="1" t="s">
        <v>259</v>
      </c>
      <c r="G463" s="1" t="s">
        <v>106</v>
      </c>
      <c r="H463" s="1" t="s">
        <v>83</v>
      </c>
      <c r="I463" s="2">
        <v>3</v>
      </c>
      <c r="J463" s="2">
        <v>7501</v>
      </c>
      <c r="K463" s="2">
        <v>5</v>
      </c>
      <c r="L463" s="1" t="s">
        <v>517</v>
      </c>
      <c r="M463" s="1" t="s">
        <v>78</v>
      </c>
      <c r="N463" s="1" t="s">
        <v>25</v>
      </c>
      <c r="O463" s="1" t="s">
        <v>45</v>
      </c>
      <c r="P463" s="7">
        <v>2</v>
      </c>
    </row>
    <row r="464" spans="1:16" x14ac:dyDescent="0.3">
      <c r="A464" s="5">
        <v>10453</v>
      </c>
      <c r="B464" s="1" t="s">
        <v>574</v>
      </c>
      <c r="C464" s="1" t="s">
        <v>485</v>
      </c>
      <c r="D464" s="1" t="s">
        <v>1387</v>
      </c>
      <c r="E464" s="1" t="s">
        <v>110</v>
      </c>
      <c r="F464" s="1" t="s">
        <v>111</v>
      </c>
      <c r="G464" s="1" t="s">
        <v>99</v>
      </c>
      <c r="H464" s="1" t="s">
        <v>92</v>
      </c>
      <c r="I464" s="2">
        <v>3</v>
      </c>
      <c r="J464" s="2">
        <v>3699</v>
      </c>
      <c r="K464" s="2">
        <v>0</v>
      </c>
      <c r="L464" s="1" t="s">
        <v>1388</v>
      </c>
      <c r="M464" s="1" t="s">
        <v>157</v>
      </c>
      <c r="N464" s="1" t="s">
        <v>25</v>
      </c>
      <c r="O464" s="1" t="s">
        <v>71</v>
      </c>
      <c r="P464" s="7">
        <v>5</v>
      </c>
    </row>
    <row r="465" spans="1:16" x14ac:dyDescent="0.3">
      <c r="A465" s="6">
        <v>10454</v>
      </c>
      <c r="B465" s="3" t="s">
        <v>1604</v>
      </c>
      <c r="C465" s="3" t="s">
        <v>315</v>
      </c>
      <c r="D465" s="3" t="s">
        <v>1605</v>
      </c>
      <c r="E465" s="3" t="s">
        <v>236</v>
      </c>
      <c r="F465" s="3" t="s">
        <v>150</v>
      </c>
      <c r="G465" s="3" t="s">
        <v>333</v>
      </c>
      <c r="H465" s="3" t="s">
        <v>92</v>
      </c>
      <c r="I465" s="4">
        <v>5</v>
      </c>
      <c r="J465" s="4">
        <v>4304</v>
      </c>
      <c r="K465" s="4">
        <v>20</v>
      </c>
      <c r="L465" s="3" t="s">
        <v>93</v>
      </c>
      <c r="M465" s="3" t="s">
        <v>78</v>
      </c>
      <c r="N465" s="3" t="s">
        <v>25</v>
      </c>
      <c r="O465" s="3" t="s">
        <v>34</v>
      </c>
      <c r="P465" s="8">
        <v>2</v>
      </c>
    </row>
    <row r="466" spans="1:16" x14ac:dyDescent="0.3">
      <c r="A466" s="6">
        <v>10455</v>
      </c>
      <c r="B466" s="3" t="s">
        <v>95</v>
      </c>
      <c r="C466" s="3" t="s">
        <v>87</v>
      </c>
      <c r="D466" s="3" t="s">
        <v>1113</v>
      </c>
      <c r="E466" s="3" t="s">
        <v>65</v>
      </c>
      <c r="F466" s="3" t="s">
        <v>348</v>
      </c>
      <c r="G466" s="3" t="s">
        <v>280</v>
      </c>
      <c r="H466" s="3" t="s">
        <v>41</v>
      </c>
      <c r="I466" s="4">
        <v>1</v>
      </c>
      <c r="J466" s="4">
        <v>186</v>
      </c>
      <c r="K466" s="4">
        <v>10</v>
      </c>
      <c r="L466" s="3" t="s">
        <v>1114</v>
      </c>
      <c r="M466" s="3" t="s">
        <v>85</v>
      </c>
      <c r="N466" s="3" t="s">
        <v>70</v>
      </c>
      <c r="O466" s="3" t="s">
        <v>71</v>
      </c>
      <c r="P466" s="8">
        <v>3</v>
      </c>
    </row>
    <row r="467" spans="1:16" x14ac:dyDescent="0.3">
      <c r="A467" s="5">
        <v>10455</v>
      </c>
      <c r="B467" s="1" t="s">
        <v>95</v>
      </c>
      <c r="C467" s="1" t="s">
        <v>87</v>
      </c>
      <c r="D467" s="1" t="s">
        <v>1113</v>
      </c>
      <c r="E467" s="1" t="s">
        <v>65</v>
      </c>
      <c r="F467" s="1" t="s">
        <v>348</v>
      </c>
      <c r="G467" s="1" t="s">
        <v>280</v>
      </c>
      <c r="H467" s="1" t="s">
        <v>41</v>
      </c>
      <c r="I467" s="2">
        <v>1</v>
      </c>
      <c r="J467" s="2">
        <v>186</v>
      </c>
      <c r="K467" s="2">
        <v>10</v>
      </c>
      <c r="L467" s="1" t="s">
        <v>1114</v>
      </c>
      <c r="M467" s="1" t="s">
        <v>85</v>
      </c>
      <c r="N467" s="1" t="s">
        <v>70</v>
      </c>
      <c r="O467" s="1" t="s">
        <v>71</v>
      </c>
      <c r="P467" s="7">
        <v>3</v>
      </c>
    </row>
    <row r="468" spans="1:16" x14ac:dyDescent="0.3">
      <c r="A468" s="6">
        <v>10456</v>
      </c>
      <c r="B468" s="3" t="s">
        <v>1093</v>
      </c>
      <c r="C468" s="3" t="s">
        <v>655</v>
      </c>
      <c r="D468" s="3" t="s">
        <v>1292</v>
      </c>
      <c r="E468" s="3" t="s">
        <v>97</v>
      </c>
      <c r="F468" s="3" t="s">
        <v>417</v>
      </c>
      <c r="G468" s="3" t="s">
        <v>1159</v>
      </c>
      <c r="H468" s="3" t="s">
        <v>83</v>
      </c>
      <c r="I468" s="4">
        <v>1</v>
      </c>
      <c r="J468" s="4">
        <v>12188</v>
      </c>
      <c r="K468" s="4">
        <v>20</v>
      </c>
      <c r="L468" s="3" t="s">
        <v>1293</v>
      </c>
      <c r="M468" s="3" t="s">
        <v>24</v>
      </c>
      <c r="N468" s="3" t="s">
        <v>33</v>
      </c>
      <c r="O468" s="3" t="s">
        <v>53</v>
      </c>
      <c r="P468" s="8">
        <v>4</v>
      </c>
    </row>
    <row r="469" spans="1:16" x14ac:dyDescent="0.3">
      <c r="A469" s="6">
        <v>10457</v>
      </c>
      <c r="B469" s="3" t="s">
        <v>1121</v>
      </c>
      <c r="C469" s="3"/>
      <c r="D469" s="3" t="s">
        <v>1386</v>
      </c>
      <c r="E469" s="3" t="s">
        <v>178</v>
      </c>
      <c r="F469" s="3" t="s">
        <v>20</v>
      </c>
      <c r="G469" s="3" t="s">
        <v>1159</v>
      </c>
      <c r="H469" s="3" t="s">
        <v>83</v>
      </c>
      <c r="I469" s="4">
        <v>5</v>
      </c>
      <c r="J469" s="4">
        <v>8161</v>
      </c>
      <c r="K469" s="4"/>
      <c r="L469" s="3" t="s">
        <v>1377</v>
      </c>
      <c r="M469" s="3" t="s">
        <v>24</v>
      </c>
      <c r="N469" s="3" t="s">
        <v>25</v>
      </c>
      <c r="O469" s="3" t="s">
        <v>34</v>
      </c>
      <c r="P469" s="8">
        <v>1</v>
      </c>
    </row>
    <row r="470" spans="1:16" x14ac:dyDescent="0.3">
      <c r="A470" s="6">
        <v>10458</v>
      </c>
      <c r="B470" s="3" t="s">
        <v>510</v>
      </c>
      <c r="C470" s="3" t="s">
        <v>426</v>
      </c>
      <c r="D470" s="3" t="s">
        <v>1483</v>
      </c>
      <c r="E470" s="3" t="s">
        <v>367</v>
      </c>
      <c r="F470" s="3" t="s">
        <v>362</v>
      </c>
      <c r="G470" s="3" t="s">
        <v>99</v>
      </c>
      <c r="H470" s="3" t="s">
        <v>92</v>
      </c>
      <c r="I470" s="4">
        <v>3</v>
      </c>
      <c r="J470" s="4">
        <v>2905</v>
      </c>
      <c r="K470" s="4">
        <v>0</v>
      </c>
      <c r="L470" s="3" t="s">
        <v>1484</v>
      </c>
      <c r="M470" s="3" t="s">
        <v>43</v>
      </c>
      <c r="N470" s="3" t="s">
        <v>33</v>
      </c>
      <c r="O470" s="3" t="s">
        <v>45</v>
      </c>
      <c r="P470" s="8">
        <v>5</v>
      </c>
    </row>
    <row r="471" spans="1:16" x14ac:dyDescent="0.3">
      <c r="A471" s="5">
        <v>10459</v>
      </c>
      <c r="B471" s="1" t="s">
        <v>35</v>
      </c>
      <c r="C471" s="1" t="s">
        <v>36</v>
      </c>
      <c r="D471" s="1" t="s">
        <v>37</v>
      </c>
      <c r="E471" s="1" t="s">
        <v>38</v>
      </c>
      <c r="F471" s="1" t="s">
        <v>39</v>
      </c>
      <c r="G471" s="1" t="s">
        <v>40</v>
      </c>
      <c r="H471" s="1" t="s">
        <v>41</v>
      </c>
      <c r="I471" s="2">
        <v>5</v>
      </c>
      <c r="J471" s="2">
        <v>143</v>
      </c>
      <c r="K471" s="2">
        <v>20</v>
      </c>
      <c r="L471" s="1" t="s">
        <v>42</v>
      </c>
      <c r="M471" s="1" t="s">
        <v>43</v>
      </c>
      <c r="N471" s="1" t="s">
        <v>44</v>
      </c>
      <c r="O471" s="1" t="s">
        <v>45</v>
      </c>
      <c r="P471" s="7">
        <v>2</v>
      </c>
    </row>
    <row r="472" spans="1:16" x14ac:dyDescent="0.3">
      <c r="A472" s="6">
        <v>10459</v>
      </c>
      <c r="B472" s="3" t="s">
        <v>35</v>
      </c>
      <c r="C472" s="3" t="s">
        <v>36</v>
      </c>
      <c r="D472" s="3" t="s">
        <v>37</v>
      </c>
      <c r="E472" s="3" t="s">
        <v>38</v>
      </c>
      <c r="F472" s="3" t="s">
        <v>39</v>
      </c>
      <c r="G472" s="3" t="s">
        <v>40</v>
      </c>
      <c r="H472" s="3" t="s">
        <v>41</v>
      </c>
      <c r="I472" s="4">
        <v>5</v>
      </c>
      <c r="J472" s="4">
        <v>143</v>
      </c>
      <c r="K472" s="4">
        <v>20</v>
      </c>
      <c r="L472" s="3" t="s">
        <v>42</v>
      </c>
      <c r="M472" s="3" t="s">
        <v>43</v>
      </c>
      <c r="N472" s="3" t="s">
        <v>44</v>
      </c>
      <c r="O472" s="3" t="s">
        <v>45</v>
      </c>
      <c r="P472" s="8">
        <v>2</v>
      </c>
    </row>
    <row r="473" spans="1:16" x14ac:dyDescent="0.3">
      <c r="A473" s="6">
        <v>10460</v>
      </c>
      <c r="B473" s="3" t="s">
        <v>290</v>
      </c>
      <c r="C473" s="3"/>
      <c r="D473" s="3" t="s">
        <v>931</v>
      </c>
      <c r="E473" s="3" t="s">
        <v>532</v>
      </c>
      <c r="F473" s="3" t="s">
        <v>220</v>
      </c>
      <c r="G473" s="3" t="s">
        <v>21</v>
      </c>
      <c r="H473" s="3" t="s">
        <v>22</v>
      </c>
      <c r="I473" s="4">
        <v>3</v>
      </c>
      <c r="J473" s="4">
        <v>1095</v>
      </c>
      <c r="K473" s="4"/>
      <c r="L473" s="3" t="s">
        <v>932</v>
      </c>
      <c r="M473" s="3" t="s">
        <v>78</v>
      </c>
      <c r="N473" s="3" t="s">
        <v>70</v>
      </c>
      <c r="O473" s="3" t="s">
        <v>45</v>
      </c>
      <c r="P473" s="8">
        <v>1</v>
      </c>
    </row>
    <row r="474" spans="1:16" x14ac:dyDescent="0.3">
      <c r="A474" s="6">
        <v>10461</v>
      </c>
      <c r="B474" s="3" t="s">
        <v>631</v>
      </c>
      <c r="C474" s="3" t="s">
        <v>632</v>
      </c>
      <c r="D474" s="3" t="s">
        <v>1452</v>
      </c>
      <c r="E474" s="3" t="s">
        <v>190</v>
      </c>
      <c r="F474" s="3" t="s">
        <v>214</v>
      </c>
      <c r="G474" s="3" t="s">
        <v>672</v>
      </c>
      <c r="H474" s="3" t="s">
        <v>83</v>
      </c>
      <c r="I474" s="4">
        <v>2</v>
      </c>
      <c r="J474" s="4">
        <v>12661</v>
      </c>
      <c r="K474" s="4">
        <v>10</v>
      </c>
      <c r="L474" s="3" t="s">
        <v>1453</v>
      </c>
      <c r="M474" s="3" t="s">
        <v>78</v>
      </c>
      <c r="N474" s="3" t="s">
        <v>25</v>
      </c>
      <c r="O474" s="3" t="s">
        <v>53</v>
      </c>
      <c r="P474" s="8">
        <v>4</v>
      </c>
    </row>
    <row r="475" spans="1:16" x14ac:dyDescent="0.3">
      <c r="A475" s="5">
        <v>10462</v>
      </c>
      <c r="B475" s="1" t="s">
        <v>1128</v>
      </c>
      <c r="C475" s="1" t="s">
        <v>655</v>
      </c>
      <c r="D475" s="1" t="s">
        <v>1398</v>
      </c>
      <c r="E475" s="1" t="s">
        <v>38</v>
      </c>
      <c r="F475" s="1" t="s">
        <v>429</v>
      </c>
      <c r="G475" s="1" t="s">
        <v>280</v>
      </c>
      <c r="H475" s="1" t="s">
        <v>41</v>
      </c>
      <c r="I475" s="2">
        <v>5</v>
      </c>
      <c r="J475" s="2">
        <v>63</v>
      </c>
      <c r="K475" s="2">
        <v>20</v>
      </c>
      <c r="L475" s="1" t="s">
        <v>1399</v>
      </c>
      <c r="M475" s="1" t="s">
        <v>101</v>
      </c>
      <c r="N475" s="1" t="s">
        <v>70</v>
      </c>
      <c r="O475" s="1" t="s">
        <v>34</v>
      </c>
      <c r="P475" s="7"/>
    </row>
    <row r="476" spans="1:16" x14ac:dyDescent="0.3">
      <c r="A476" s="6">
        <v>10463</v>
      </c>
      <c r="B476" s="3" t="s">
        <v>1040</v>
      </c>
      <c r="C476" s="3" t="s">
        <v>907</v>
      </c>
      <c r="D476" s="3" t="s">
        <v>1041</v>
      </c>
      <c r="E476" s="3" t="s">
        <v>893</v>
      </c>
      <c r="F476" s="3" t="s">
        <v>50</v>
      </c>
      <c r="G476" s="3" t="s">
        <v>474</v>
      </c>
      <c r="H476" s="3" t="s">
        <v>143</v>
      </c>
      <c r="I476" s="4">
        <v>3</v>
      </c>
      <c r="J476" s="4">
        <v>483</v>
      </c>
      <c r="K476" s="4"/>
      <c r="L476" s="3" t="s">
        <v>1042</v>
      </c>
      <c r="M476" s="3" t="s">
        <v>186</v>
      </c>
      <c r="N476" s="3" t="s">
        <v>70</v>
      </c>
      <c r="O476" s="3" t="s">
        <v>34</v>
      </c>
      <c r="P476" s="8">
        <v>4</v>
      </c>
    </row>
    <row r="477" spans="1:16" x14ac:dyDescent="0.3">
      <c r="A477" s="5">
        <v>10464</v>
      </c>
      <c r="B477" s="1" t="s">
        <v>680</v>
      </c>
      <c r="C477" s="1" t="s">
        <v>681</v>
      </c>
      <c r="D477" s="1" t="s">
        <v>682</v>
      </c>
      <c r="E477" s="1" t="s">
        <v>197</v>
      </c>
      <c r="F477" s="1" t="s">
        <v>191</v>
      </c>
      <c r="G477" s="1" t="s">
        <v>327</v>
      </c>
      <c r="H477" s="1" t="s">
        <v>22</v>
      </c>
      <c r="I477" s="2">
        <v>1</v>
      </c>
      <c r="J477" s="2">
        <v>809</v>
      </c>
      <c r="K477" s="2">
        <v>5</v>
      </c>
      <c r="L477" s="1" t="s">
        <v>683</v>
      </c>
      <c r="M477" s="1" t="s">
        <v>69</v>
      </c>
      <c r="N477" s="1" t="s">
        <v>25</v>
      </c>
      <c r="O477" s="1" t="s">
        <v>71</v>
      </c>
      <c r="P477" s="7">
        <v>2</v>
      </c>
    </row>
    <row r="478" spans="1:16" x14ac:dyDescent="0.3">
      <c r="A478" s="6">
        <v>10465</v>
      </c>
      <c r="B478" s="3" t="s">
        <v>1219</v>
      </c>
      <c r="C478" s="3" t="s">
        <v>1134</v>
      </c>
      <c r="D478" s="3" t="s">
        <v>1220</v>
      </c>
      <c r="E478" s="3" t="s">
        <v>273</v>
      </c>
      <c r="F478" s="3" t="s">
        <v>50</v>
      </c>
      <c r="G478" s="3" t="s">
        <v>454</v>
      </c>
      <c r="H478" s="3" t="s">
        <v>83</v>
      </c>
      <c r="I478" s="4">
        <v>4</v>
      </c>
      <c r="J478" s="4">
        <v>4169</v>
      </c>
      <c r="K478" s="4">
        <v>0</v>
      </c>
      <c r="L478" s="3" t="s">
        <v>1221</v>
      </c>
      <c r="M478" s="3" t="s">
        <v>145</v>
      </c>
      <c r="N478" s="3" t="s">
        <v>25</v>
      </c>
      <c r="O478" s="3" t="s">
        <v>45</v>
      </c>
      <c r="P478" s="8">
        <v>1</v>
      </c>
    </row>
    <row r="479" spans="1:16" x14ac:dyDescent="0.3">
      <c r="A479" s="5">
        <v>10466</v>
      </c>
      <c r="B479" s="1" t="s">
        <v>373</v>
      </c>
      <c r="C479" s="1" t="s">
        <v>256</v>
      </c>
      <c r="D479" s="1" t="s">
        <v>374</v>
      </c>
      <c r="E479" s="1" t="s">
        <v>104</v>
      </c>
      <c r="F479" s="1" t="s">
        <v>75</v>
      </c>
      <c r="G479" s="1" t="s">
        <v>375</v>
      </c>
      <c r="H479" s="1" t="s">
        <v>83</v>
      </c>
      <c r="I479" s="2">
        <v>2</v>
      </c>
      <c r="J479" s="2">
        <v>23161</v>
      </c>
      <c r="K479" s="2"/>
      <c r="L479" s="1" t="s">
        <v>376</v>
      </c>
      <c r="M479" s="1" t="s">
        <v>200</v>
      </c>
      <c r="N479" s="1" t="s">
        <v>25</v>
      </c>
      <c r="O479" s="1" t="s">
        <v>174</v>
      </c>
      <c r="P479" s="7"/>
    </row>
    <row r="480" spans="1:16" x14ac:dyDescent="0.3">
      <c r="A480" s="5">
        <v>10467</v>
      </c>
      <c r="B480" s="1" t="s">
        <v>849</v>
      </c>
      <c r="C480" s="1"/>
      <c r="D480" s="1" t="s">
        <v>850</v>
      </c>
      <c r="E480" s="1" t="s">
        <v>269</v>
      </c>
      <c r="F480" s="1" t="s">
        <v>851</v>
      </c>
      <c r="G480" s="1" t="s">
        <v>112</v>
      </c>
      <c r="H480" s="1" t="s">
        <v>83</v>
      </c>
      <c r="I480" s="2">
        <v>2</v>
      </c>
      <c r="J480" s="2">
        <v>15588</v>
      </c>
      <c r="K480" s="2">
        <v>0</v>
      </c>
      <c r="L480" s="1" t="s">
        <v>418</v>
      </c>
      <c r="M480" s="1" t="s">
        <v>78</v>
      </c>
      <c r="N480" s="1" t="s">
        <v>70</v>
      </c>
      <c r="O480" s="1" t="s">
        <v>53</v>
      </c>
      <c r="P480" s="7">
        <v>4</v>
      </c>
    </row>
    <row r="481" spans="1:16" x14ac:dyDescent="0.3">
      <c r="A481" s="6">
        <v>10468</v>
      </c>
      <c r="B481" s="3" t="s">
        <v>1075</v>
      </c>
      <c r="C481" s="3" t="s">
        <v>1076</v>
      </c>
      <c r="D481" s="3" t="s">
        <v>1077</v>
      </c>
      <c r="E481" s="3" t="s">
        <v>178</v>
      </c>
      <c r="F481" s="3" t="s">
        <v>58</v>
      </c>
      <c r="G481" s="3" t="s">
        <v>106</v>
      </c>
      <c r="H481" s="3" t="s">
        <v>83</v>
      </c>
      <c r="I481" s="4">
        <v>3</v>
      </c>
      <c r="J481" s="4">
        <v>14897</v>
      </c>
      <c r="K481" s="4">
        <v>15</v>
      </c>
      <c r="L481" s="3" t="s">
        <v>967</v>
      </c>
      <c r="M481" s="3" t="s">
        <v>43</v>
      </c>
      <c r="N481" s="3" t="s">
        <v>25</v>
      </c>
      <c r="O481" s="3" t="s">
        <v>71</v>
      </c>
      <c r="P481" s="8">
        <v>3</v>
      </c>
    </row>
    <row r="482" spans="1:16" x14ac:dyDescent="0.3">
      <c r="A482" s="5">
        <v>10469</v>
      </c>
      <c r="B482" s="1" t="s">
        <v>1215</v>
      </c>
      <c r="C482" s="1" t="s">
        <v>1216</v>
      </c>
      <c r="D482" s="1" t="s">
        <v>1217</v>
      </c>
      <c r="E482" s="1" t="s">
        <v>893</v>
      </c>
      <c r="F482" s="1" t="s">
        <v>50</v>
      </c>
      <c r="G482" s="1" t="s">
        <v>155</v>
      </c>
      <c r="H482" s="1" t="s">
        <v>92</v>
      </c>
      <c r="I482" s="2">
        <v>2</v>
      </c>
      <c r="J482" s="2">
        <v>849</v>
      </c>
      <c r="K482" s="2">
        <v>10</v>
      </c>
      <c r="L482" s="1" t="s">
        <v>1218</v>
      </c>
      <c r="M482" s="1" t="s">
        <v>94</v>
      </c>
      <c r="N482" s="1" t="s">
        <v>33</v>
      </c>
      <c r="O482" s="1" t="s">
        <v>53</v>
      </c>
      <c r="P482" s="7">
        <v>1</v>
      </c>
    </row>
    <row r="483" spans="1:16" x14ac:dyDescent="0.3">
      <c r="A483" s="5">
        <v>10470</v>
      </c>
      <c r="B483" s="1" t="s">
        <v>674</v>
      </c>
      <c r="C483" s="1" t="s">
        <v>675</v>
      </c>
      <c r="D483" s="1" t="s">
        <v>915</v>
      </c>
      <c r="E483" s="1" t="s">
        <v>269</v>
      </c>
      <c r="F483" s="1" t="s">
        <v>214</v>
      </c>
      <c r="G483" s="1" t="s">
        <v>204</v>
      </c>
      <c r="H483" s="1" t="s">
        <v>143</v>
      </c>
      <c r="I483" s="2">
        <v>5</v>
      </c>
      <c r="J483" s="2">
        <v>513</v>
      </c>
      <c r="K483" s="2"/>
      <c r="L483" s="1" t="s">
        <v>916</v>
      </c>
      <c r="M483" s="1" t="s">
        <v>157</v>
      </c>
      <c r="N483" s="1" t="s">
        <v>70</v>
      </c>
      <c r="O483" s="1" t="s">
        <v>174</v>
      </c>
      <c r="P483" s="7">
        <v>4</v>
      </c>
    </row>
    <row r="484" spans="1:16" x14ac:dyDescent="0.3">
      <c r="A484" s="6">
        <v>10471</v>
      </c>
      <c r="B484" s="3" t="s">
        <v>1497</v>
      </c>
      <c r="C484" s="3" t="s">
        <v>502</v>
      </c>
      <c r="D484" s="3" t="s">
        <v>1498</v>
      </c>
      <c r="E484" s="3" t="s">
        <v>197</v>
      </c>
      <c r="F484" s="3" t="s">
        <v>191</v>
      </c>
      <c r="G484" s="3" t="s">
        <v>155</v>
      </c>
      <c r="H484" s="3" t="s">
        <v>92</v>
      </c>
      <c r="I484" s="4">
        <v>1</v>
      </c>
      <c r="J484" s="4">
        <v>580</v>
      </c>
      <c r="K484" s="4">
        <v>15</v>
      </c>
      <c r="L484" s="3" t="s">
        <v>378</v>
      </c>
      <c r="M484" s="3" t="s">
        <v>200</v>
      </c>
      <c r="N484" s="3" t="s">
        <v>456</v>
      </c>
      <c r="O484" s="3" t="s">
        <v>45</v>
      </c>
      <c r="P484" s="8">
        <v>2</v>
      </c>
    </row>
    <row r="485" spans="1:16" x14ac:dyDescent="0.3">
      <c r="A485" s="5">
        <v>10472</v>
      </c>
      <c r="B485" s="1" t="s">
        <v>765</v>
      </c>
      <c r="C485" s="1"/>
      <c r="D485" s="1" t="s">
        <v>766</v>
      </c>
      <c r="E485" s="1" t="s">
        <v>767</v>
      </c>
      <c r="F485" s="1" t="s">
        <v>288</v>
      </c>
      <c r="G485" s="1" t="s">
        <v>112</v>
      </c>
      <c r="H485" s="1" t="s">
        <v>83</v>
      </c>
      <c r="I485" s="2">
        <v>5</v>
      </c>
      <c r="J485" s="2">
        <v>29443</v>
      </c>
      <c r="K485" s="2"/>
      <c r="L485" s="1" t="s">
        <v>768</v>
      </c>
      <c r="M485" s="1" t="s">
        <v>69</v>
      </c>
      <c r="N485" s="1" t="s">
        <v>25</v>
      </c>
      <c r="O485" s="1" t="s">
        <v>71</v>
      </c>
      <c r="P485" s="7"/>
    </row>
    <row r="486" spans="1:16" x14ac:dyDescent="0.3">
      <c r="A486" s="6">
        <v>10473</v>
      </c>
      <c r="B486" s="3" t="s">
        <v>1246</v>
      </c>
      <c r="C486" s="3" t="s">
        <v>147</v>
      </c>
      <c r="D486" s="3" t="s">
        <v>1247</v>
      </c>
      <c r="E486" s="3" t="s">
        <v>219</v>
      </c>
      <c r="F486" s="3" t="s">
        <v>150</v>
      </c>
      <c r="G486" s="3" t="s">
        <v>333</v>
      </c>
      <c r="H486" s="3" t="s">
        <v>92</v>
      </c>
      <c r="I486" s="4">
        <v>2</v>
      </c>
      <c r="J486" s="4">
        <v>3865</v>
      </c>
      <c r="K486" s="4">
        <v>20</v>
      </c>
      <c r="L486" s="3" t="s">
        <v>1248</v>
      </c>
      <c r="M486" s="3" t="s">
        <v>43</v>
      </c>
      <c r="N486" s="3" t="s">
        <v>25</v>
      </c>
      <c r="O486" s="3" t="s">
        <v>71</v>
      </c>
      <c r="P486" s="8">
        <v>2</v>
      </c>
    </row>
    <row r="487" spans="1:16" x14ac:dyDescent="0.3">
      <c r="A487" s="6">
        <v>10474</v>
      </c>
      <c r="B487" s="3" t="s">
        <v>216</v>
      </c>
      <c r="C487" s="3" t="s">
        <v>217</v>
      </c>
      <c r="D487" s="3" t="s">
        <v>218</v>
      </c>
      <c r="E487" s="3" t="s">
        <v>219</v>
      </c>
      <c r="F487" s="3" t="s">
        <v>220</v>
      </c>
      <c r="G487" s="3" t="s">
        <v>221</v>
      </c>
      <c r="H487" s="3" t="s">
        <v>83</v>
      </c>
      <c r="I487" s="4">
        <v>3</v>
      </c>
      <c r="J487" s="4">
        <v>18770</v>
      </c>
      <c r="K487" s="4">
        <v>0</v>
      </c>
      <c r="L487" s="3" t="s">
        <v>222</v>
      </c>
      <c r="M487" s="3" t="s">
        <v>157</v>
      </c>
      <c r="N487" s="3" t="s">
        <v>25</v>
      </c>
      <c r="O487" s="3" t="s">
        <v>53</v>
      </c>
      <c r="P487" s="8">
        <v>2</v>
      </c>
    </row>
    <row r="488" spans="1:16" x14ac:dyDescent="0.3">
      <c r="A488" s="6">
        <v>10475</v>
      </c>
      <c r="B488" s="3" t="s">
        <v>457</v>
      </c>
      <c r="C488" s="3" t="s">
        <v>458</v>
      </c>
      <c r="D488" s="3" t="s">
        <v>1259</v>
      </c>
      <c r="E488" s="3" t="s">
        <v>172</v>
      </c>
      <c r="F488" s="3" t="s">
        <v>66</v>
      </c>
      <c r="G488" s="3" t="s">
        <v>954</v>
      </c>
      <c r="H488" s="3" t="s">
        <v>60</v>
      </c>
      <c r="I488" s="4">
        <v>2</v>
      </c>
      <c r="J488" s="4">
        <v>622</v>
      </c>
      <c r="K488" s="4">
        <v>10</v>
      </c>
      <c r="L488" s="3" t="s">
        <v>1260</v>
      </c>
      <c r="M488" s="3" t="s">
        <v>94</v>
      </c>
      <c r="N488" s="3" t="s">
        <v>25</v>
      </c>
      <c r="O488" s="3" t="s">
        <v>53</v>
      </c>
      <c r="P488" s="8">
        <v>5</v>
      </c>
    </row>
    <row r="489" spans="1:16" x14ac:dyDescent="0.3">
      <c r="A489" s="6">
        <v>10476</v>
      </c>
      <c r="B489" s="3" t="s">
        <v>138</v>
      </c>
      <c r="C489" s="3" t="s">
        <v>917</v>
      </c>
      <c r="D489" s="3"/>
      <c r="E489" s="3" t="s">
        <v>371</v>
      </c>
      <c r="F489" s="3" t="s">
        <v>98</v>
      </c>
      <c r="G489" s="3" t="s">
        <v>454</v>
      </c>
      <c r="H489" s="3" t="s">
        <v>83</v>
      </c>
      <c r="I489" s="4">
        <v>3</v>
      </c>
      <c r="J489" s="4">
        <v>2584</v>
      </c>
      <c r="K489" s="4">
        <v>15</v>
      </c>
      <c r="L489" s="3" t="s">
        <v>918</v>
      </c>
      <c r="M489" s="3" t="s">
        <v>69</v>
      </c>
      <c r="N489" s="3" t="s">
        <v>70</v>
      </c>
      <c r="O489" s="3"/>
      <c r="P489" s="8"/>
    </row>
    <row r="490" spans="1:16" x14ac:dyDescent="0.3">
      <c r="A490" s="6">
        <v>10477</v>
      </c>
      <c r="B490" s="3" t="s">
        <v>1440</v>
      </c>
      <c r="C490" s="3"/>
      <c r="D490" s="3" t="s">
        <v>1441</v>
      </c>
      <c r="E490" s="3" t="s">
        <v>74</v>
      </c>
      <c r="F490" s="3" t="s">
        <v>75</v>
      </c>
      <c r="G490" s="3" t="s">
        <v>161</v>
      </c>
      <c r="H490" s="3" t="s">
        <v>83</v>
      </c>
      <c r="I490" s="4">
        <v>1</v>
      </c>
      <c r="J490" s="4">
        <v>15686</v>
      </c>
      <c r="K490" s="4"/>
      <c r="L490" s="3" t="s">
        <v>1442</v>
      </c>
      <c r="M490" s="3" t="s">
        <v>94</v>
      </c>
      <c r="N490" s="3" t="s">
        <v>70</v>
      </c>
      <c r="O490" s="3" t="s">
        <v>174</v>
      </c>
      <c r="P490" s="8">
        <v>5</v>
      </c>
    </row>
    <row r="491" spans="1:16" x14ac:dyDescent="0.3">
      <c r="A491" s="6">
        <v>10478</v>
      </c>
      <c r="B491" s="3" t="s">
        <v>574</v>
      </c>
      <c r="C491" s="3"/>
      <c r="D491" s="3" t="s">
        <v>575</v>
      </c>
      <c r="E491" s="3" t="s">
        <v>258</v>
      </c>
      <c r="F491" s="3" t="s">
        <v>576</v>
      </c>
      <c r="G491" s="3" t="s">
        <v>280</v>
      </c>
      <c r="H491" s="3" t="s">
        <v>41</v>
      </c>
      <c r="I491" s="4">
        <v>4</v>
      </c>
      <c r="J491" s="4">
        <v>165</v>
      </c>
      <c r="K491" s="4">
        <v>20</v>
      </c>
      <c r="L491" s="3" t="s">
        <v>577</v>
      </c>
      <c r="M491" s="3" t="s">
        <v>24</v>
      </c>
      <c r="N491" s="3" t="s">
        <v>25</v>
      </c>
      <c r="O491" s="3"/>
      <c r="P491" s="8">
        <v>1</v>
      </c>
    </row>
    <row r="492" spans="1:16" x14ac:dyDescent="0.3">
      <c r="A492" s="5">
        <v>10479</v>
      </c>
      <c r="B492" s="1" t="s">
        <v>1294</v>
      </c>
      <c r="C492" s="1"/>
      <c r="D492" s="1" t="s">
        <v>1295</v>
      </c>
      <c r="E492" s="1" t="s">
        <v>74</v>
      </c>
      <c r="F492" s="1" t="s">
        <v>596</v>
      </c>
      <c r="G492" s="1" t="s">
        <v>303</v>
      </c>
      <c r="H492" s="1" t="s">
        <v>60</v>
      </c>
      <c r="I492" s="2">
        <v>3</v>
      </c>
      <c r="J492" s="2">
        <v>640</v>
      </c>
      <c r="K492" s="2"/>
      <c r="L492" s="1" t="s">
        <v>1296</v>
      </c>
      <c r="M492" s="1" t="s">
        <v>43</v>
      </c>
      <c r="N492" s="1" t="s">
        <v>25</v>
      </c>
      <c r="O492" s="1" t="s">
        <v>71</v>
      </c>
      <c r="P492" s="7">
        <v>5</v>
      </c>
    </row>
    <row r="493" spans="1:16" x14ac:dyDescent="0.3">
      <c r="A493" s="6">
        <v>10480</v>
      </c>
      <c r="B493" s="3" t="s">
        <v>1405</v>
      </c>
      <c r="C493" s="3" t="s">
        <v>1406</v>
      </c>
      <c r="D493" s="3" t="s">
        <v>1407</v>
      </c>
      <c r="E493" s="3" t="s">
        <v>197</v>
      </c>
      <c r="F493" s="3" t="s">
        <v>386</v>
      </c>
      <c r="G493" s="3" t="s">
        <v>375</v>
      </c>
      <c r="H493" s="3" t="s">
        <v>83</v>
      </c>
      <c r="I493" s="4">
        <v>3</v>
      </c>
      <c r="J493" s="4">
        <v>29641</v>
      </c>
      <c r="K493" s="4">
        <v>15</v>
      </c>
      <c r="L493" s="3" t="s">
        <v>1408</v>
      </c>
      <c r="M493" s="3" t="s">
        <v>24</v>
      </c>
      <c r="N493" s="3" t="s">
        <v>44</v>
      </c>
      <c r="O493" s="3" t="s">
        <v>34</v>
      </c>
      <c r="P493" s="8"/>
    </row>
    <row r="494" spans="1:16" x14ac:dyDescent="0.3">
      <c r="A494" s="5">
        <v>10481</v>
      </c>
      <c r="B494" s="1" t="s">
        <v>953</v>
      </c>
      <c r="C494" s="1" t="s">
        <v>320</v>
      </c>
      <c r="D494" s="1"/>
      <c r="E494" s="1" t="s">
        <v>172</v>
      </c>
      <c r="F494" s="1" t="s">
        <v>150</v>
      </c>
      <c r="G494" s="1" t="s">
        <v>954</v>
      </c>
      <c r="H494" s="1" t="s">
        <v>60</v>
      </c>
      <c r="I494" s="2">
        <v>3</v>
      </c>
      <c r="J494" s="2">
        <v>403</v>
      </c>
      <c r="K494" s="2">
        <v>5</v>
      </c>
      <c r="L494" s="1" t="s">
        <v>955</v>
      </c>
      <c r="M494" s="1" t="s">
        <v>69</v>
      </c>
      <c r="N494" s="1" t="s">
        <v>25</v>
      </c>
      <c r="O494" s="1"/>
      <c r="P494" s="7"/>
    </row>
    <row r="495" spans="1:16" x14ac:dyDescent="0.3">
      <c r="A495" s="5">
        <v>10482</v>
      </c>
      <c r="B495" s="1" t="s">
        <v>842</v>
      </c>
      <c r="C495" s="1" t="s">
        <v>380</v>
      </c>
      <c r="D495" s="1" t="s">
        <v>843</v>
      </c>
      <c r="E495" s="1" t="s">
        <v>38</v>
      </c>
      <c r="F495" s="1" t="s">
        <v>429</v>
      </c>
      <c r="G495" s="1" t="s">
        <v>231</v>
      </c>
      <c r="H495" s="1" t="s">
        <v>83</v>
      </c>
      <c r="I495" s="2">
        <v>2</v>
      </c>
      <c r="J495" s="2">
        <v>2396</v>
      </c>
      <c r="K495" s="2">
        <v>20</v>
      </c>
      <c r="L495" s="1" t="s">
        <v>844</v>
      </c>
      <c r="M495" s="1" t="s">
        <v>200</v>
      </c>
      <c r="N495" s="1" t="s">
        <v>25</v>
      </c>
      <c r="O495" s="1" t="s">
        <v>45</v>
      </c>
      <c r="P495" s="7"/>
    </row>
    <row r="496" spans="1:16" x14ac:dyDescent="0.3">
      <c r="A496" s="5">
        <v>10483</v>
      </c>
      <c r="B496" s="1" t="s">
        <v>753</v>
      </c>
      <c r="C496" s="1" t="s">
        <v>283</v>
      </c>
      <c r="D496" s="1" t="s">
        <v>754</v>
      </c>
      <c r="E496" s="1" t="s">
        <v>279</v>
      </c>
      <c r="F496" s="1" t="s">
        <v>259</v>
      </c>
      <c r="G496" s="1" t="s">
        <v>112</v>
      </c>
      <c r="H496" s="1" t="s">
        <v>83</v>
      </c>
      <c r="I496" s="2">
        <v>2</v>
      </c>
      <c r="J496" s="2">
        <v>34339</v>
      </c>
      <c r="K496" s="2">
        <v>0</v>
      </c>
      <c r="L496" s="1" t="s">
        <v>755</v>
      </c>
      <c r="M496" s="1" t="s">
        <v>94</v>
      </c>
      <c r="N496" s="1" t="s">
        <v>119</v>
      </c>
      <c r="O496" s="1" t="s">
        <v>174</v>
      </c>
      <c r="P496" s="7">
        <v>3</v>
      </c>
    </row>
    <row r="497" spans="1:16" x14ac:dyDescent="0.3">
      <c r="A497" s="5">
        <v>10484</v>
      </c>
      <c r="B497" s="1" t="s">
        <v>414</v>
      </c>
      <c r="C497" s="1" t="s">
        <v>1017</v>
      </c>
      <c r="D497" s="1" t="s">
        <v>1018</v>
      </c>
      <c r="E497" s="1" t="s">
        <v>89</v>
      </c>
      <c r="F497" s="1" t="s">
        <v>90</v>
      </c>
      <c r="G497" s="1" t="s">
        <v>411</v>
      </c>
      <c r="H497" s="1" t="s">
        <v>83</v>
      </c>
      <c r="I497" s="2">
        <v>4</v>
      </c>
      <c r="J497" s="2">
        <v>59452</v>
      </c>
      <c r="K497" s="2">
        <v>0</v>
      </c>
      <c r="L497" s="1" t="s">
        <v>1019</v>
      </c>
      <c r="M497" s="1" t="s">
        <v>43</v>
      </c>
      <c r="N497" s="1" t="s">
        <v>25</v>
      </c>
      <c r="O497" s="1" t="s">
        <v>34</v>
      </c>
      <c r="P497" s="7"/>
    </row>
    <row r="498" spans="1:16" x14ac:dyDescent="0.3">
      <c r="A498" s="6">
        <v>10485</v>
      </c>
      <c r="B498" s="3" t="s">
        <v>1184</v>
      </c>
      <c r="C498" s="3" t="s">
        <v>1185</v>
      </c>
      <c r="D498" s="3" t="s">
        <v>1186</v>
      </c>
      <c r="E498" s="3" t="s">
        <v>558</v>
      </c>
      <c r="F498" s="3" t="s">
        <v>288</v>
      </c>
      <c r="G498" s="3" t="s">
        <v>124</v>
      </c>
      <c r="H498" s="3" t="s">
        <v>41</v>
      </c>
      <c r="I498" s="4">
        <v>5</v>
      </c>
      <c r="J498" s="4">
        <v>199</v>
      </c>
      <c r="K498" s="4">
        <v>0</v>
      </c>
      <c r="L498" s="3" t="s">
        <v>1187</v>
      </c>
      <c r="M498" s="3" t="s">
        <v>126</v>
      </c>
      <c r="N498" s="3" t="s">
        <v>33</v>
      </c>
      <c r="O498" s="3" t="s">
        <v>45</v>
      </c>
      <c r="P498" s="8">
        <v>4</v>
      </c>
    </row>
    <row r="499" spans="1:16" x14ac:dyDescent="0.3">
      <c r="A499" s="6">
        <v>10486</v>
      </c>
      <c r="B499" s="3" t="s">
        <v>651</v>
      </c>
      <c r="C499" s="3" t="s">
        <v>320</v>
      </c>
      <c r="D499" s="3" t="s">
        <v>994</v>
      </c>
      <c r="E499" s="3" t="s">
        <v>253</v>
      </c>
      <c r="F499" s="3" t="s">
        <v>50</v>
      </c>
      <c r="G499" s="3" t="s">
        <v>151</v>
      </c>
      <c r="H499" s="3" t="s">
        <v>143</v>
      </c>
      <c r="I499" s="4">
        <v>4</v>
      </c>
      <c r="J499" s="4">
        <v>978</v>
      </c>
      <c r="K499" s="4"/>
      <c r="L499" s="3" t="s">
        <v>995</v>
      </c>
      <c r="M499" s="3" t="s">
        <v>126</v>
      </c>
      <c r="N499" s="3" t="s">
        <v>814</v>
      </c>
      <c r="O499" s="3" t="s">
        <v>174</v>
      </c>
      <c r="P499" s="8">
        <v>2</v>
      </c>
    </row>
    <row r="500" spans="1:16" x14ac:dyDescent="0.3">
      <c r="A500" s="6">
        <v>10487</v>
      </c>
      <c r="B500" s="3" t="s">
        <v>606</v>
      </c>
      <c r="C500" s="3" t="s">
        <v>147</v>
      </c>
      <c r="D500" s="3" t="s">
        <v>607</v>
      </c>
      <c r="E500" s="3" t="s">
        <v>371</v>
      </c>
      <c r="F500" s="3" t="s">
        <v>209</v>
      </c>
      <c r="G500" s="3" t="s">
        <v>204</v>
      </c>
      <c r="H500" s="3" t="s">
        <v>143</v>
      </c>
      <c r="I500" s="4">
        <v>2</v>
      </c>
      <c r="J500" s="4">
        <v>305</v>
      </c>
      <c r="K500" s="4">
        <v>20</v>
      </c>
      <c r="L500" s="3" t="s">
        <v>608</v>
      </c>
      <c r="M500" s="3" t="s">
        <v>69</v>
      </c>
      <c r="N500" s="3" t="s">
        <v>25</v>
      </c>
      <c r="O500" s="3" t="s">
        <v>53</v>
      </c>
      <c r="P500" s="8">
        <v>3</v>
      </c>
    </row>
    <row r="501" spans="1:16" x14ac:dyDescent="0.3">
      <c r="A501" s="6">
        <v>10488</v>
      </c>
      <c r="B501" s="3" t="s">
        <v>613</v>
      </c>
      <c r="C501" s="3" t="s">
        <v>324</v>
      </c>
      <c r="D501" s="3" t="s">
        <v>614</v>
      </c>
      <c r="E501" s="3" t="s">
        <v>308</v>
      </c>
      <c r="F501" s="3" t="s">
        <v>615</v>
      </c>
      <c r="G501" s="3" t="s">
        <v>327</v>
      </c>
      <c r="H501" s="3" t="s">
        <v>22</v>
      </c>
      <c r="I501" s="4">
        <v>3</v>
      </c>
      <c r="J501" s="4">
        <v>1076</v>
      </c>
      <c r="K501" s="4"/>
      <c r="L501" s="3" t="s">
        <v>616</v>
      </c>
      <c r="M501" s="3" t="s">
        <v>69</v>
      </c>
      <c r="N501" s="3" t="s">
        <v>456</v>
      </c>
      <c r="O501" s="3" t="s">
        <v>34</v>
      </c>
      <c r="P501" s="8">
        <v>2</v>
      </c>
    </row>
    <row r="502" spans="1:16" x14ac:dyDescent="0.3">
      <c r="A502" s="5">
        <v>10489</v>
      </c>
      <c r="B502" s="1" t="s">
        <v>1378</v>
      </c>
      <c r="C502" s="1" t="s">
        <v>708</v>
      </c>
      <c r="D502" s="1" t="s">
        <v>1379</v>
      </c>
      <c r="E502" s="1" t="s">
        <v>343</v>
      </c>
      <c r="F502" s="1" t="s">
        <v>20</v>
      </c>
      <c r="G502" s="1" t="s">
        <v>298</v>
      </c>
      <c r="H502" s="1" t="s">
        <v>22</v>
      </c>
      <c r="I502" s="2">
        <v>3</v>
      </c>
      <c r="J502" s="2">
        <v>1132</v>
      </c>
      <c r="K502" s="2"/>
      <c r="L502" s="1" t="s">
        <v>1380</v>
      </c>
      <c r="M502" s="1" t="s">
        <v>78</v>
      </c>
      <c r="N502" s="1" t="s">
        <v>33</v>
      </c>
      <c r="O502" s="1" t="s">
        <v>45</v>
      </c>
      <c r="P502" s="7">
        <v>2</v>
      </c>
    </row>
    <row r="503" spans="1:16" x14ac:dyDescent="0.3">
      <c r="A503" s="5">
        <v>10490</v>
      </c>
      <c r="B503" s="1" t="s">
        <v>1524</v>
      </c>
      <c r="C503" s="1" t="s">
        <v>819</v>
      </c>
      <c r="D503" s="1" t="s">
        <v>1525</v>
      </c>
      <c r="E503" s="1" t="s">
        <v>279</v>
      </c>
      <c r="F503" s="1" t="s">
        <v>259</v>
      </c>
      <c r="G503" s="1" t="s">
        <v>349</v>
      </c>
      <c r="H503" s="1" t="s">
        <v>92</v>
      </c>
      <c r="I503" s="2">
        <v>1</v>
      </c>
      <c r="J503" s="2">
        <v>685</v>
      </c>
      <c r="K503" s="2">
        <v>10</v>
      </c>
      <c r="L503" s="1" t="s">
        <v>955</v>
      </c>
      <c r="M503" s="1" t="s">
        <v>145</v>
      </c>
      <c r="N503" s="1" t="s">
        <v>70</v>
      </c>
      <c r="O503" s="1" t="s">
        <v>71</v>
      </c>
      <c r="P503" s="7">
        <v>2</v>
      </c>
    </row>
    <row r="504" spans="1:16" x14ac:dyDescent="0.3">
      <c r="A504" s="5">
        <v>10491</v>
      </c>
      <c r="B504" s="1" t="s">
        <v>379</v>
      </c>
      <c r="C504" s="1" t="s">
        <v>380</v>
      </c>
      <c r="D504" s="1"/>
      <c r="E504" s="1" t="s">
        <v>279</v>
      </c>
      <c r="F504" s="1" t="s">
        <v>259</v>
      </c>
      <c r="G504" s="1" t="s">
        <v>381</v>
      </c>
      <c r="H504" s="1" t="s">
        <v>83</v>
      </c>
      <c r="I504" s="2">
        <v>2</v>
      </c>
      <c r="J504" s="2">
        <v>56410</v>
      </c>
      <c r="K504" s="2">
        <v>10</v>
      </c>
      <c r="L504" s="1" t="s">
        <v>382</v>
      </c>
      <c r="M504" s="1" t="s">
        <v>126</v>
      </c>
      <c r="N504" s="1" t="s">
        <v>70</v>
      </c>
      <c r="O504" s="1" t="s">
        <v>45</v>
      </c>
      <c r="P504" s="7">
        <v>5</v>
      </c>
    </row>
    <row r="505" spans="1:16" x14ac:dyDescent="0.3">
      <c r="A505" s="5">
        <v>10492</v>
      </c>
      <c r="B505" s="1" t="s">
        <v>1180</v>
      </c>
      <c r="C505" s="1" t="s">
        <v>1181</v>
      </c>
      <c r="D505" s="1" t="s">
        <v>1182</v>
      </c>
      <c r="E505" s="1" t="s">
        <v>172</v>
      </c>
      <c r="F505" s="1" t="s">
        <v>150</v>
      </c>
      <c r="G505" s="1" t="s">
        <v>1004</v>
      </c>
      <c r="H505" s="1" t="s">
        <v>41</v>
      </c>
      <c r="I505" s="2">
        <v>3</v>
      </c>
      <c r="J505" s="2">
        <v>163</v>
      </c>
      <c r="K505" s="2">
        <v>15</v>
      </c>
      <c r="L505" s="1" t="s">
        <v>1183</v>
      </c>
      <c r="M505" s="1" t="s">
        <v>78</v>
      </c>
      <c r="N505" s="1" t="s">
        <v>25</v>
      </c>
      <c r="O505" s="1" t="s">
        <v>34</v>
      </c>
      <c r="P505" s="7">
        <v>5</v>
      </c>
    </row>
    <row r="506" spans="1:16" x14ac:dyDescent="0.3">
      <c r="A506" s="5">
        <v>10493</v>
      </c>
      <c r="B506" s="1" t="s">
        <v>609</v>
      </c>
      <c r="C506" s="1" t="s">
        <v>610</v>
      </c>
      <c r="D506" s="1" t="s">
        <v>611</v>
      </c>
      <c r="E506" s="1" t="s">
        <v>38</v>
      </c>
      <c r="F506" s="1" t="s">
        <v>39</v>
      </c>
      <c r="G506" s="1" t="s">
        <v>21</v>
      </c>
      <c r="H506" s="1" t="s">
        <v>22</v>
      </c>
      <c r="I506" s="2">
        <v>5</v>
      </c>
      <c r="J506" s="2">
        <v>597</v>
      </c>
      <c r="K506" s="2">
        <v>0</v>
      </c>
      <c r="L506" s="1" t="s">
        <v>612</v>
      </c>
      <c r="M506" s="1" t="s">
        <v>560</v>
      </c>
      <c r="N506" s="1" t="s">
        <v>25</v>
      </c>
      <c r="O506" s="1" t="s">
        <v>45</v>
      </c>
      <c r="P506" s="7">
        <v>1</v>
      </c>
    </row>
    <row r="507" spans="1:16" x14ac:dyDescent="0.3">
      <c r="A507" s="6">
        <v>10494</v>
      </c>
      <c r="B507" s="3" t="s">
        <v>233</v>
      </c>
      <c r="C507" s="3" t="s">
        <v>760</v>
      </c>
      <c r="D507" s="3"/>
      <c r="E507" s="3" t="s">
        <v>190</v>
      </c>
      <c r="F507" s="3" t="s">
        <v>214</v>
      </c>
      <c r="G507" s="3" t="s">
        <v>1319</v>
      </c>
      <c r="H507" s="3" t="s">
        <v>41</v>
      </c>
      <c r="I507" s="4">
        <v>1</v>
      </c>
      <c r="J507" s="4">
        <v>199</v>
      </c>
      <c r="K507" s="4">
        <v>5</v>
      </c>
      <c r="L507" s="3" t="s">
        <v>1320</v>
      </c>
      <c r="M507" s="3" t="s">
        <v>78</v>
      </c>
      <c r="N507" s="3" t="s">
        <v>33</v>
      </c>
      <c r="O507" s="3" t="s">
        <v>174</v>
      </c>
      <c r="P507" s="8">
        <v>4</v>
      </c>
    </row>
    <row r="508" spans="1:16" x14ac:dyDescent="0.3">
      <c r="A508" s="6">
        <v>10495</v>
      </c>
      <c r="B508" s="3" t="s">
        <v>1550</v>
      </c>
      <c r="C508" s="3" t="s">
        <v>897</v>
      </c>
      <c r="D508" s="3" t="s">
        <v>1551</v>
      </c>
      <c r="E508" s="3" t="s">
        <v>343</v>
      </c>
      <c r="F508" s="3" t="s">
        <v>50</v>
      </c>
      <c r="G508" s="3" t="s">
        <v>76</v>
      </c>
      <c r="H508" s="3" t="s">
        <v>41</v>
      </c>
      <c r="I508" s="4">
        <v>4</v>
      </c>
      <c r="J508" s="4">
        <v>350</v>
      </c>
      <c r="K508" s="4">
        <v>20</v>
      </c>
      <c r="L508" s="3" t="s">
        <v>1427</v>
      </c>
      <c r="M508" s="3" t="s">
        <v>69</v>
      </c>
      <c r="N508" s="3" t="s">
        <v>119</v>
      </c>
      <c r="O508" s="3"/>
      <c r="P508" s="8">
        <v>5</v>
      </c>
    </row>
    <row r="509" spans="1:16" x14ac:dyDescent="0.3">
      <c r="A509" s="6">
        <v>10496</v>
      </c>
      <c r="B509" s="3" t="s">
        <v>310</v>
      </c>
      <c r="C509" s="3" t="s">
        <v>17</v>
      </c>
      <c r="D509" s="3" t="s">
        <v>311</v>
      </c>
      <c r="E509" s="3" t="s">
        <v>178</v>
      </c>
      <c r="F509" s="3" t="s">
        <v>50</v>
      </c>
      <c r="G509" s="3" t="s">
        <v>312</v>
      </c>
      <c r="H509" s="3" t="s">
        <v>83</v>
      </c>
      <c r="I509" s="4">
        <v>3</v>
      </c>
      <c r="J509" s="4">
        <v>3373</v>
      </c>
      <c r="K509" s="4">
        <v>15</v>
      </c>
      <c r="L509" s="3" t="s">
        <v>313</v>
      </c>
      <c r="M509" s="3" t="s">
        <v>85</v>
      </c>
      <c r="N509" s="3" t="s">
        <v>25</v>
      </c>
      <c r="O509" s="3" t="s">
        <v>45</v>
      </c>
      <c r="P509" s="8">
        <v>4</v>
      </c>
    </row>
    <row r="510" spans="1:16" x14ac:dyDescent="0.3">
      <c r="A510" s="5">
        <v>10497</v>
      </c>
      <c r="B510" s="1" t="s">
        <v>138</v>
      </c>
      <c r="C510" s="1" t="s">
        <v>128</v>
      </c>
      <c r="D510" s="1" t="s">
        <v>139</v>
      </c>
      <c r="E510" s="1" t="s">
        <v>140</v>
      </c>
      <c r="F510" s="1" t="s">
        <v>141</v>
      </c>
      <c r="G510" s="1" t="s">
        <v>142</v>
      </c>
      <c r="H510" s="1" t="s">
        <v>143</v>
      </c>
      <c r="I510" s="2">
        <v>1</v>
      </c>
      <c r="J510" s="2">
        <v>862</v>
      </c>
      <c r="K510" s="2">
        <v>15</v>
      </c>
      <c r="L510" s="1" t="s">
        <v>144</v>
      </c>
      <c r="M510" s="1" t="s">
        <v>145</v>
      </c>
      <c r="N510" s="1" t="s">
        <v>33</v>
      </c>
      <c r="O510" s="1" t="s">
        <v>45</v>
      </c>
      <c r="P510" s="7">
        <v>3</v>
      </c>
    </row>
    <row r="511" spans="1:16" x14ac:dyDescent="0.3">
      <c r="A511" s="5">
        <v>10498</v>
      </c>
      <c r="B511" s="1" t="s">
        <v>250</v>
      </c>
      <c r="C511" s="1"/>
      <c r="D511" s="1" t="s">
        <v>1488</v>
      </c>
      <c r="E511" s="1" t="s">
        <v>247</v>
      </c>
      <c r="F511" s="1" t="s">
        <v>776</v>
      </c>
      <c r="G511" s="1" t="s">
        <v>368</v>
      </c>
      <c r="H511" s="1" t="s">
        <v>22</v>
      </c>
      <c r="I511" s="2">
        <v>3</v>
      </c>
      <c r="J511" s="2">
        <v>1784</v>
      </c>
      <c r="K511" s="2">
        <v>0</v>
      </c>
      <c r="L511" s="1" t="s">
        <v>1489</v>
      </c>
      <c r="M511" s="1" t="s">
        <v>78</v>
      </c>
      <c r="N511" s="1" t="s">
        <v>25</v>
      </c>
      <c r="O511" s="1" t="s">
        <v>53</v>
      </c>
      <c r="P511" s="7"/>
    </row>
    <row r="512" spans="1:16" x14ac:dyDescent="0.3">
      <c r="A512" s="6">
        <v>10499</v>
      </c>
      <c r="B512" s="3" t="s">
        <v>963</v>
      </c>
      <c r="C512" s="3" t="s">
        <v>599</v>
      </c>
      <c r="D512" s="3" t="s">
        <v>964</v>
      </c>
      <c r="E512" s="3" t="s">
        <v>965</v>
      </c>
      <c r="F512" s="3" t="s">
        <v>90</v>
      </c>
      <c r="G512" s="3" t="s">
        <v>91</v>
      </c>
      <c r="H512" s="3" t="s">
        <v>92</v>
      </c>
      <c r="I512" s="4">
        <v>4</v>
      </c>
      <c r="J512" s="4">
        <v>4804</v>
      </c>
      <c r="K512" s="4">
        <v>0</v>
      </c>
      <c r="L512" s="3" t="s">
        <v>948</v>
      </c>
      <c r="M512" s="3" t="s">
        <v>157</v>
      </c>
      <c r="N512" s="3" t="s">
        <v>33</v>
      </c>
      <c r="O512" s="3"/>
      <c r="P512" s="8">
        <v>1</v>
      </c>
    </row>
    <row r="513" spans="1:16" x14ac:dyDescent="0.3">
      <c r="A513" s="12">
        <v>10500</v>
      </c>
      <c r="B513" s="13" t="s">
        <v>658</v>
      </c>
      <c r="C513" s="13" t="s">
        <v>1310</v>
      </c>
      <c r="D513" s="13" t="s">
        <v>1493</v>
      </c>
      <c r="E513" s="13" t="s">
        <v>401</v>
      </c>
      <c r="F513" s="13" t="s">
        <v>274</v>
      </c>
      <c r="G513" s="13" t="s">
        <v>280</v>
      </c>
      <c r="H513" s="13" t="s">
        <v>41</v>
      </c>
      <c r="I513" s="14">
        <v>5</v>
      </c>
      <c r="J513" s="14">
        <v>75</v>
      </c>
      <c r="K513" s="14">
        <v>0</v>
      </c>
      <c r="L513" s="13" t="s">
        <v>1494</v>
      </c>
      <c r="M513" s="13" t="s">
        <v>94</v>
      </c>
      <c r="N513" s="13" t="s">
        <v>33</v>
      </c>
      <c r="O513" s="13" t="s">
        <v>71</v>
      </c>
      <c r="P513" s="15">
        <v>3</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3CAFC-1736-40D8-89BA-A9663BF22B35}">
  <dimension ref="A1:Z501"/>
  <sheetViews>
    <sheetView workbookViewId="0">
      <pane ySplit="1" topLeftCell="A13" activePane="bottomLeft" state="frozen"/>
      <selection activeCell="G1" sqref="G1"/>
      <selection pane="bottomLeft" activeCell="X6" sqref="X6"/>
    </sheetView>
  </sheetViews>
  <sheetFormatPr defaultRowHeight="14.4" x14ac:dyDescent="0.3"/>
  <cols>
    <col min="1" max="1" width="10.44140625" customWidth="1"/>
    <col min="2" max="2" width="16.44140625" bestFit="1" customWidth="1"/>
    <col min="3" max="3" width="25.5546875" bestFit="1" customWidth="1"/>
    <col min="4" max="4" width="11.77734375" customWidth="1"/>
    <col min="5" max="5" width="10.6640625" bestFit="1" customWidth="1"/>
    <col min="6" max="6" width="12.21875" bestFit="1" customWidth="1"/>
    <col min="7" max="7" width="11.109375" bestFit="1" customWidth="1"/>
    <col min="8" max="8" width="10.77734375" bestFit="1" customWidth="1"/>
    <col min="9" max="9" width="6.21875" bestFit="1" customWidth="1"/>
    <col min="10" max="10" width="10.88671875" bestFit="1" customWidth="1"/>
    <col min="11" max="11" width="12" bestFit="1" customWidth="1"/>
    <col min="12" max="12" width="11.88671875" style="16" bestFit="1" customWidth="1"/>
    <col min="13" max="13" width="17.6640625" bestFit="1" customWidth="1"/>
    <col min="14" max="14" width="15.33203125" bestFit="1" customWidth="1"/>
    <col min="15" max="15" width="13.21875" bestFit="1" customWidth="1"/>
    <col min="17" max="17" width="12.109375" customWidth="1"/>
    <col min="18" max="18" width="16.21875" customWidth="1"/>
    <col min="19" max="22" width="11.6640625" customWidth="1"/>
    <col min="23" max="23" width="19.6640625" customWidth="1"/>
    <col min="24" max="24" width="14.44140625" bestFit="1" customWidth="1"/>
    <col min="25" max="25" width="12.5546875" customWidth="1"/>
    <col min="26" max="26" width="11.77734375" bestFit="1" customWidth="1"/>
  </cols>
  <sheetData>
    <row r="1" spans="1:26" x14ac:dyDescent="0.3">
      <c r="A1" s="40" t="s">
        <v>1810</v>
      </c>
      <c r="B1" s="40" t="s">
        <v>1</v>
      </c>
      <c r="C1" s="40" t="s">
        <v>2</v>
      </c>
      <c r="D1" s="40" t="s">
        <v>1811</v>
      </c>
      <c r="E1" s="40" t="s">
        <v>4</v>
      </c>
      <c r="F1" s="40" t="s">
        <v>5</v>
      </c>
      <c r="G1" s="41" t="s">
        <v>6</v>
      </c>
      <c r="H1" s="41" t="s">
        <v>7</v>
      </c>
      <c r="I1" s="41" t="s">
        <v>8</v>
      </c>
      <c r="J1" s="41" t="s">
        <v>9</v>
      </c>
      <c r="K1" s="41" t="s">
        <v>10</v>
      </c>
      <c r="L1" s="42" t="s">
        <v>11</v>
      </c>
      <c r="M1" s="41" t="s">
        <v>12</v>
      </c>
      <c r="N1" s="41" t="s">
        <v>13</v>
      </c>
      <c r="O1" s="41" t="s">
        <v>14</v>
      </c>
      <c r="P1" s="41" t="s">
        <v>15</v>
      </c>
      <c r="Q1" s="41" t="s">
        <v>1814</v>
      </c>
      <c r="R1" s="41" t="s">
        <v>1815</v>
      </c>
      <c r="S1" s="46" t="s">
        <v>1816</v>
      </c>
    </row>
    <row r="2" spans="1:26" x14ac:dyDescent="0.3">
      <c r="A2" s="21">
        <v>10001</v>
      </c>
      <c r="B2" s="21" t="s">
        <v>1083</v>
      </c>
      <c r="C2" s="21" t="s">
        <v>1746</v>
      </c>
      <c r="D2" s="21">
        <v>9277850531</v>
      </c>
      <c r="E2" s="21" t="s">
        <v>371</v>
      </c>
      <c r="F2" s="21" t="s">
        <v>98</v>
      </c>
      <c r="G2" s="43" t="s">
        <v>21</v>
      </c>
      <c r="H2" s="43" t="s">
        <v>22</v>
      </c>
      <c r="I2" s="43">
        <v>5</v>
      </c>
      <c r="J2" s="43">
        <v>1391</v>
      </c>
      <c r="K2" s="43">
        <v>0</v>
      </c>
      <c r="L2" s="44">
        <v>45380</v>
      </c>
      <c r="M2" s="43" t="s">
        <v>43</v>
      </c>
      <c r="N2" s="43" t="s">
        <v>25</v>
      </c>
      <c r="O2" s="43" t="s">
        <v>71</v>
      </c>
      <c r="P2" s="43" t="s">
        <v>1813</v>
      </c>
      <c r="Q2" s="45">
        <v>6955</v>
      </c>
      <c r="R2" s="45">
        <v>0</v>
      </c>
      <c r="S2" s="45">
        <v>6955</v>
      </c>
    </row>
    <row r="3" spans="1:26" ht="15.6" x14ac:dyDescent="0.3">
      <c r="A3" s="21">
        <v>10002</v>
      </c>
      <c r="B3" s="21" t="s">
        <v>404</v>
      </c>
      <c r="C3" s="21" t="s">
        <v>1695</v>
      </c>
      <c r="D3" s="21">
        <v>9352050161</v>
      </c>
      <c r="E3" s="21" t="s">
        <v>111</v>
      </c>
      <c r="F3" s="21" t="s">
        <v>111</v>
      </c>
      <c r="G3" s="43" t="s">
        <v>112</v>
      </c>
      <c r="H3" s="43" t="s">
        <v>83</v>
      </c>
      <c r="I3" s="43">
        <v>5</v>
      </c>
      <c r="J3" s="43">
        <v>22950</v>
      </c>
      <c r="K3" s="43">
        <v>0</v>
      </c>
      <c r="L3" s="44">
        <v>45515</v>
      </c>
      <c r="M3" s="43" t="s">
        <v>69</v>
      </c>
      <c r="N3" s="43" t="s">
        <v>25</v>
      </c>
      <c r="O3" s="43" t="s">
        <v>71</v>
      </c>
      <c r="P3" s="43">
        <v>3</v>
      </c>
      <c r="Q3" s="45">
        <v>114750</v>
      </c>
      <c r="R3" s="45">
        <v>0</v>
      </c>
      <c r="S3" s="45">
        <v>114750</v>
      </c>
      <c r="W3" s="26" t="s">
        <v>1825</v>
      </c>
      <c r="X3" s="27">
        <f>SUM(Table1!$S$2:$S$501)</f>
        <v>12898260.400000002</v>
      </c>
      <c r="Y3" s="17"/>
      <c r="Z3" s="17"/>
    </row>
    <row r="4" spans="1:26" ht="15.6" x14ac:dyDescent="0.3">
      <c r="A4" s="21">
        <v>10003</v>
      </c>
      <c r="B4" s="21" t="s">
        <v>1274</v>
      </c>
      <c r="C4" s="21" t="s">
        <v>1794</v>
      </c>
      <c r="D4" s="21" t="s">
        <v>1812</v>
      </c>
      <c r="E4" s="21" t="s">
        <v>219</v>
      </c>
      <c r="F4" s="21" t="s">
        <v>150</v>
      </c>
      <c r="G4" s="43" t="s">
        <v>411</v>
      </c>
      <c r="H4" s="43" t="s">
        <v>83</v>
      </c>
      <c r="I4" s="43">
        <v>1</v>
      </c>
      <c r="J4" s="43">
        <v>57438</v>
      </c>
      <c r="K4" s="43">
        <v>0</v>
      </c>
      <c r="L4" s="44">
        <v>45417</v>
      </c>
      <c r="M4" s="43" t="s">
        <v>1646</v>
      </c>
      <c r="N4" s="43" t="s">
        <v>456</v>
      </c>
      <c r="O4" s="43" t="s">
        <v>34</v>
      </c>
      <c r="P4" s="43">
        <v>1</v>
      </c>
      <c r="Q4" s="45">
        <v>57438</v>
      </c>
      <c r="R4" s="45">
        <v>0</v>
      </c>
      <c r="S4" s="45">
        <v>57438</v>
      </c>
      <c r="W4" s="26" t="s">
        <v>1826</v>
      </c>
      <c r="X4" s="28">
        <f>COUNT(Table1!$A$2:$A$501)</f>
        <v>500</v>
      </c>
    </row>
    <row r="5" spans="1:26" ht="15.6" x14ac:dyDescent="0.3">
      <c r="A5" s="21">
        <v>10004</v>
      </c>
      <c r="B5" s="21" t="s">
        <v>238</v>
      </c>
      <c r="C5" s="21" t="s">
        <v>1671</v>
      </c>
      <c r="D5" s="21">
        <v>9880563190</v>
      </c>
      <c r="E5" s="21" t="s">
        <v>74</v>
      </c>
      <c r="F5" s="21" t="s">
        <v>75</v>
      </c>
      <c r="G5" s="43" t="s">
        <v>151</v>
      </c>
      <c r="H5" s="43" t="s">
        <v>143</v>
      </c>
      <c r="I5" s="43">
        <v>1</v>
      </c>
      <c r="J5" s="43">
        <v>478</v>
      </c>
      <c r="K5" s="43">
        <v>0</v>
      </c>
      <c r="L5" s="44">
        <v>45458</v>
      </c>
      <c r="M5" s="43" t="s">
        <v>69</v>
      </c>
      <c r="N5" s="43" t="s">
        <v>25</v>
      </c>
      <c r="O5" s="43" t="s">
        <v>53</v>
      </c>
      <c r="P5" s="43">
        <v>5</v>
      </c>
      <c r="Q5" s="45">
        <v>478</v>
      </c>
      <c r="R5" s="45">
        <v>0</v>
      </c>
      <c r="S5" s="45">
        <v>478</v>
      </c>
      <c r="W5" s="26" t="s">
        <v>1828</v>
      </c>
      <c r="X5" s="29">
        <f>COUNTIF(Table1!$N$2:$N$501,"Delivered")/COUNTA(Table1!$N$2:$N$501,"0%")</f>
        <v>0.86826347305389218</v>
      </c>
    </row>
    <row r="6" spans="1:26" ht="15.6" x14ac:dyDescent="0.3">
      <c r="A6" s="21">
        <v>10005</v>
      </c>
      <c r="B6" s="21" t="s">
        <v>919</v>
      </c>
      <c r="C6" s="21" t="s">
        <v>1767</v>
      </c>
      <c r="D6" s="21" t="s">
        <v>1812</v>
      </c>
      <c r="E6" s="21" t="s">
        <v>391</v>
      </c>
      <c r="F6" s="21" t="s">
        <v>90</v>
      </c>
      <c r="G6" s="43" t="s">
        <v>179</v>
      </c>
      <c r="H6" s="43" t="s">
        <v>60</v>
      </c>
      <c r="I6" s="43">
        <v>2</v>
      </c>
      <c r="J6" s="43">
        <v>746</v>
      </c>
      <c r="K6" s="43">
        <v>0</v>
      </c>
      <c r="L6" s="44">
        <v>45398</v>
      </c>
      <c r="M6" s="43" t="s">
        <v>1646</v>
      </c>
      <c r="N6" s="43" t="s">
        <v>25</v>
      </c>
      <c r="O6" s="43" t="s">
        <v>34</v>
      </c>
      <c r="P6" s="43" t="s">
        <v>1813</v>
      </c>
      <c r="Q6" s="45">
        <v>1492</v>
      </c>
      <c r="R6" s="45">
        <v>0</v>
      </c>
      <c r="S6" s="45">
        <v>1492</v>
      </c>
      <c r="W6" s="26" t="s">
        <v>1827</v>
      </c>
      <c r="X6" s="30" t="str">
        <f>TEXT(AVERAGEIF(P:P,"&lt;&gt;Not Rated",P:P),"0.0")&amp;" / 5"</f>
        <v>3.0 / 5</v>
      </c>
    </row>
    <row r="7" spans="1:26" x14ac:dyDescent="0.3">
      <c r="A7" s="21">
        <v>10006</v>
      </c>
      <c r="B7" s="21" t="s">
        <v>793</v>
      </c>
      <c r="C7" s="21" t="s">
        <v>1437</v>
      </c>
      <c r="D7" s="21">
        <v>9554586233</v>
      </c>
      <c r="E7" s="21" t="s">
        <v>197</v>
      </c>
      <c r="F7" s="21" t="s">
        <v>191</v>
      </c>
      <c r="G7" s="43" t="s">
        <v>231</v>
      </c>
      <c r="H7" s="43" t="s">
        <v>83</v>
      </c>
      <c r="I7" s="43">
        <v>1</v>
      </c>
      <c r="J7" s="43">
        <v>1552</v>
      </c>
      <c r="K7" s="43">
        <v>10</v>
      </c>
      <c r="L7" s="44">
        <v>45645</v>
      </c>
      <c r="M7" s="43" t="s">
        <v>24</v>
      </c>
      <c r="N7" s="43" t="s">
        <v>25</v>
      </c>
      <c r="O7" s="43" t="s">
        <v>53</v>
      </c>
      <c r="P7" s="43">
        <v>1</v>
      </c>
      <c r="Q7" s="45">
        <v>1552</v>
      </c>
      <c r="R7" s="45">
        <v>155.19999999999999</v>
      </c>
      <c r="S7" s="45">
        <v>1396.8</v>
      </c>
    </row>
    <row r="8" spans="1:26" x14ac:dyDescent="0.3">
      <c r="A8" s="21">
        <v>10007</v>
      </c>
      <c r="B8" s="21" t="s">
        <v>1072</v>
      </c>
      <c r="C8" s="21" t="s">
        <v>1712</v>
      </c>
      <c r="D8" s="21">
        <v>9269980483</v>
      </c>
      <c r="E8" s="21" t="s">
        <v>391</v>
      </c>
      <c r="F8" s="21" t="s">
        <v>90</v>
      </c>
      <c r="G8" s="43" t="s">
        <v>226</v>
      </c>
      <c r="H8" s="43" t="s">
        <v>22</v>
      </c>
      <c r="I8" s="43">
        <v>5</v>
      </c>
      <c r="J8" s="43">
        <v>1590</v>
      </c>
      <c r="K8" s="43">
        <v>20</v>
      </c>
      <c r="L8" s="44">
        <v>45421</v>
      </c>
      <c r="M8" s="43" t="s">
        <v>1646</v>
      </c>
      <c r="N8" s="43" t="s">
        <v>25</v>
      </c>
      <c r="O8" s="43" t="s">
        <v>174</v>
      </c>
      <c r="P8" s="43">
        <v>2</v>
      </c>
      <c r="Q8" s="45">
        <v>7950</v>
      </c>
      <c r="R8" s="45">
        <v>1590</v>
      </c>
      <c r="S8" s="45">
        <v>6360</v>
      </c>
    </row>
    <row r="9" spans="1:26" x14ac:dyDescent="0.3">
      <c r="A9" s="21">
        <v>10008</v>
      </c>
      <c r="B9" s="21" t="s">
        <v>561</v>
      </c>
      <c r="C9" s="21" t="s">
        <v>1776</v>
      </c>
      <c r="D9" s="21">
        <v>9255244673</v>
      </c>
      <c r="E9" s="21" t="s">
        <v>371</v>
      </c>
      <c r="F9" s="21" t="s">
        <v>98</v>
      </c>
      <c r="G9" s="43" t="s">
        <v>112</v>
      </c>
      <c r="H9" s="43" t="s">
        <v>83</v>
      </c>
      <c r="I9" s="43">
        <v>4</v>
      </c>
      <c r="J9" s="43">
        <v>15494</v>
      </c>
      <c r="K9" s="43">
        <v>0</v>
      </c>
      <c r="L9" s="44">
        <v>45337</v>
      </c>
      <c r="M9" s="43" t="s">
        <v>24</v>
      </c>
      <c r="N9" s="43" t="s">
        <v>25</v>
      </c>
      <c r="O9" s="43" t="s">
        <v>71</v>
      </c>
      <c r="P9" s="43" t="s">
        <v>1813</v>
      </c>
      <c r="Q9" s="45">
        <v>61976</v>
      </c>
      <c r="R9" s="45">
        <v>0</v>
      </c>
      <c r="S9" s="45">
        <v>61976</v>
      </c>
    </row>
    <row r="10" spans="1:26" x14ac:dyDescent="0.3">
      <c r="A10" s="21">
        <v>10009</v>
      </c>
      <c r="B10" s="21" t="s">
        <v>1798</v>
      </c>
      <c r="C10" s="21" t="s">
        <v>1799</v>
      </c>
      <c r="D10" s="21">
        <v>9999275638</v>
      </c>
      <c r="E10" s="21" t="s">
        <v>111</v>
      </c>
      <c r="F10" s="21" t="s">
        <v>111</v>
      </c>
      <c r="G10" s="43" t="s">
        <v>106</v>
      </c>
      <c r="H10" s="43" t="s">
        <v>83</v>
      </c>
      <c r="I10" s="43">
        <v>2</v>
      </c>
      <c r="J10" s="43">
        <v>10703</v>
      </c>
      <c r="K10" s="43">
        <v>0</v>
      </c>
      <c r="L10" s="44">
        <v>45575</v>
      </c>
      <c r="M10" s="43" t="s">
        <v>1646</v>
      </c>
      <c r="N10" s="43" t="s">
        <v>25</v>
      </c>
      <c r="O10" s="43" t="s">
        <v>53</v>
      </c>
      <c r="P10" s="43">
        <v>5</v>
      </c>
      <c r="Q10" s="45">
        <v>21406</v>
      </c>
      <c r="R10" s="45">
        <v>0</v>
      </c>
      <c r="S10" s="45">
        <v>21406</v>
      </c>
    </row>
    <row r="11" spans="1:26" x14ac:dyDescent="0.3">
      <c r="A11" s="21">
        <v>10010</v>
      </c>
      <c r="B11" s="21" t="s">
        <v>72</v>
      </c>
      <c r="C11" s="21" t="s">
        <v>1711</v>
      </c>
      <c r="D11" s="21">
        <v>9122059086</v>
      </c>
      <c r="E11" s="21" t="s">
        <v>343</v>
      </c>
      <c r="F11" s="21" t="s">
        <v>50</v>
      </c>
      <c r="G11" s="43" t="s">
        <v>99</v>
      </c>
      <c r="H11" s="43" t="s">
        <v>92</v>
      </c>
      <c r="I11" s="43">
        <v>3</v>
      </c>
      <c r="J11" s="43">
        <v>4715</v>
      </c>
      <c r="K11" s="43">
        <v>20</v>
      </c>
      <c r="L11" s="44">
        <v>45644</v>
      </c>
      <c r="M11" s="43" t="s">
        <v>1646</v>
      </c>
      <c r="N11" s="43" t="s">
        <v>25</v>
      </c>
      <c r="O11" s="43" t="s">
        <v>174</v>
      </c>
      <c r="P11" s="43">
        <v>1</v>
      </c>
      <c r="Q11" s="45">
        <v>14145</v>
      </c>
      <c r="R11" s="45">
        <v>2829</v>
      </c>
      <c r="S11" s="45">
        <v>11316</v>
      </c>
    </row>
    <row r="12" spans="1:26" x14ac:dyDescent="0.3">
      <c r="A12" s="21">
        <v>10011</v>
      </c>
      <c r="B12" s="21" t="s">
        <v>255</v>
      </c>
      <c r="C12" s="21" t="s">
        <v>1674</v>
      </c>
      <c r="D12" s="21">
        <v>9507448302</v>
      </c>
      <c r="E12" s="21" t="s">
        <v>74</v>
      </c>
      <c r="F12" s="21" t="s">
        <v>75</v>
      </c>
      <c r="G12" s="43" t="s">
        <v>231</v>
      </c>
      <c r="H12" s="43" t="s">
        <v>83</v>
      </c>
      <c r="I12" s="43">
        <v>1</v>
      </c>
      <c r="J12" s="43">
        <v>2572</v>
      </c>
      <c r="K12" s="43">
        <v>0</v>
      </c>
      <c r="L12" s="44">
        <v>45595</v>
      </c>
      <c r="M12" s="43" t="s">
        <v>1646</v>
      </c>
      <c r="N12" s="43" t="s">
        <v>119</v>
      </c>
      <c r="O12" s="43" t="s">
        <v>71</v>
      </c>
      <c r="P12" s="43">
        <v>2</v>
      </c>
      <c r="Q12" s="45">
        <v>2572</v>
      </c>
      <c r="R12" s="45">
        <v>0</v>
      </c>
      <c r="S12" s="45">
        <v>2572</v>
      </c>
    </row>
    <row r="13" spans="1:26" x14ac:dyDescent="0.3">
      <c r="A13" s="21">
        <v>10012</v>
      </c>
      <c r="B13" s="21" t="s">
        <v>438</v>
      </c>
      <c r="C13" s="21" t="s">
        <v>681</v>
      </c>
      <c r="D13" s="21">
        <v>9810267791</v>
      </c>
      <c r="E13" s="21" t="s">
        <v>343</v>
      </c>
      <c r="F13" s="21" t="s">
        <v>50</v>
      </c>
      <c r="G13" s="43" t="s">
        <v>99</v>
      </c>
      <c r="H13" s="43" t="s">
        <v>92</v>
      </c>
      <c r="I13" s="43">
        <v>4</v>
      </c>
      <c r="J13" s="43">
        <v>1677</v>
      </c>
      <c r="K13" s="43">
        <v>10</v>
      </c>
      <c r="L13" s="44">
        <v>45408</v>
      </c>
      <c r="M13" s="43" t="s">
        <v>69</v>
      </c>
      <c r="N13" s="43" t="s">
        <v>25</v>
      </c>
      <c r="O13" s="43" t="s">
        <v>45</v>
      </c>
      <c r="P13" s="43" t="s">
        <v>1813</v>
      </c>
      <c r="Q13" s="45">
        <v>6708</v>
      </c>
      <c r="R13" s="45">
        <v>670.8</v>
      </c>
      <c r="S13" s="45">
        <v>6037.2</v>
      </c>
    </row>
    <row r="14" spans="1:26" x14ac:dyDescent="0.3">
      <c r="A14" s="21">
        <v>10013</v>
      </c>
      <c r="B14" s="21" t="s">
        <v>883</v>
      </c>
      <c r="C14" s="21" t="s">
        <v>341</v>
      </c>
      <c r="D14" s="21">
        <v>9481477188</v>
      </c>
      <c r="E14" s="21" t="s">
        <v>38</v>
      </c>
      <c r="F14" s="21" t="s">
        <v>429</v>
      </c>
      <c r="G14" s="43" t="s">
        <v>204</v>
      </c>
      <c r="H14" s="43" t="s">
        <v>143</v>
      </c>
      <c r="I14" s="43">
        <v>5</v>
      </c>
      <c r="J14" s="43">
        <v>539</v>
      </c>
      <c r="K14" s="43">
        <v>0</v>
      </c>
      <c r="L14" s="44">
        <v>45314</v>
      </c>
      <c r="M14" s="43" t="s">
        <v>69</v>
      </c>
      <c r="N14" s="43" t="s">
        <v>25</v>
      </c>
      <c r="O14" s="43" t="s">
        <v>34</v>
      </c>
      <c r="P14" s="43">
        <v>5</v>
      </c>
      <c r="Q14" s="45">
        <v>2695</v>
      </c>
      <c r="R14" s="45">
        <v>0</v>
      </c>
      <c r="S14" s="45">
        <v>2695</v>
      </c>
    </row>
    <row r="15" spans="1:26" x14ac:dyDescent="0.3">
      <c r="A15" s="21">
        <v>10014</v>
      </c>
      <c r="B15" s="21" t="s">
        <v>793</v>
      </c>
      <c r="C15" s="21" t="s">
        <v>1645</v>
      </c>
      <c r="D15" s="21" t="s">
        <v>1812</v>
      </c>
      <c r="E15" s="21" t="s">
        <v>343</v>
      </c>
      <c r="F15" s="21" t="s">
        <v>50</v>
      </c>
      <c r="G15" s="43" t="s">
        <v>226</v>
      </c>
      <c r="H15" s="43" t="s">
        <v>22</v>
      </c>
      <c r="I15" s="43">
        <v>3</v>
      </c>
      <c r="J15" s="43">
        <v>905</v>
      </c>
      <c r="K15" s="43">
        <v>0</v>
      </c>
      <c r="L15" s="44">
        <v>45482</v>
      </c>
      <c r="M15" s="43" t="s">
        <v>1646</v>
      </c>
      <c r="N15" s="43" t="s">
        <v>25</v>
      </c>
      <c r="O15" s="43" t="s">
        <v>53</v>
      </c>
      <c r="P15" s="43">
        <v>4</v>
      </c>
      <c r="Q15" s="45">
        <v>2715</v>
      </c>
      <c r="R15" s="45">
        <v>0</v>
      </c>
      <c r="S15" s="45">
        <v>2715</v>
      </c>
    </row>
    <row r="16" spans="1:26" x14ac:dyDescent="0.3">
      <c r="A16" s="21">
        <v>10015</v>
      </c>
      <c r="B16" s="21" t="s">
        <v>524</v>
      </c>
      <c r="C16" s="21" t="s">
        <v>1715</v>
      </c>
      <c r="D16" s="21">
        <v>9100119185</v>
      </c>
      <c r="E16" s="21" t="s">
        <v>279</v>
      </c>
      <c r="F16" s="21" t="s">
        <v>259</v>
      </c>
      <c r="G16" s="43" t="s">
        <v>198</v>
      </c>
      <c r="H16" s="43" t="s">
        <v>41</v>
      </c>
      <c r="I16" s="43">
        <v>1</v>
      </c>
      <c r="J16" s="43">
        <v>180</v>
      </c>
      <c r="K16" s="43">
        <v>5</v>
      </c>
      <c r="L16" s="44">
        <v>45493</v>
      </c>
      <c r="M16" s="43" t="s">
        <v>1646</v>
      </c>
      <c r="N16" s="43" t="s">
        <v>25</v>
      </c>
      <c r="O16" s="43" t="s">
        <v>45</v>
      </c>
      <c r="P16" s="43" t="s">
        <v>1813</v>
      </c>
      <c r="Q16" s="45">
        <v>180</v>
      </c>
      <c r="R16" s="45">
        <v>9</v>
      </c>
      <c r="S16" s="45">
        <v>171</v>
      </c>
    </row>
    <row r="17" spans="1:19" x14ac:dyDescent="0.3">
      <c r="A17" s="21">
        <v>10016</v>
      </c>
      <c r="B17" s="21" t="s">
        <v>127</v>
      </c>
      <c r="C17" s="21" t="s">
        <v>1653</v>
      </c>
      <c r="D17" s="21">
        <v>9778186934</v>
      </c>
      <c r="E17" s="21" t="s">
        <v>273</v>
      </c>
      <c r="F17" s="21" t="s">
        <v>50</v>
      </c>
      <c r="G17" s="43" t="s">
        <v>99</v>
      </c>
      <c r="H17" s="43" t="s">
        <v>92</v>
      </c>
      <c r="I17" s="43">
        <v>4</v>
      </c>
      <c r="J17" s="43">
        <v>2167</v>
      </c>
      <c r="K17" s="43">
        <v>0</v>
      </c>
      <c r="L17" s="44">
        <v>45508</v>
      </c>
      <c r="M17" s="43" t="s">
        <v>43</v>
      </c>
      <c r="N17" s="43" t="s">
        <v>25</v>
      </c>
      <c r="O17" s="43" t="s">
        <v>1641</v>
      </c>
      <c r="P17" s="43">
        <v>2</v>
      </c>
      <c r="Q17" s="45">
        <v>8668</v>
      </c>
      <c r="R17" s="45">
        <v>0</v>
      </c>
      <c r="S17" s="45">
        <v>8668</v>
      </c>
    </row>
    <row r="18" spans="1:19" x14ac:dyDescent="0.3">
      <c r="A18" s="21">
        <v>10017</v>
      </c>
      <c r="B18" s="21" t="s">
        <v>749</v>
      </c>
      <c r="C18" s="21" t="s">
        <v>1749</v>
      </c>
      <c r="D18" s="21">
        <v>9466283190</v>
      </c>
      <c r="E18" s="21" t="s">
        <v>57</v>
      </c>
      <c r="F18" s="21" t="s">
        <v>50</v>
      </c>
      <c r="G18" s="43" t="s">
        <v>231</v>
      </c>
      <c r="H18" s="43" t="s">
        <v>83</v>
      </c>
      <c r="I18" s="43">
        <v>3</v>
      </c>
      <c r="J18" s="43">
        <v>3571</v>
      </c>
      <c r="K18" s="43">
        <v>0</v>
      </c>
      <c r="L18" s="44">
        <v>45618</v>
      </c>
      <c r="M18" s="43" t="s">
        <v>24</v>
      </c>
      <c r="N18" s="43" t="s">
        <v>25</v>
      </c>
      <c r="O18" s="43" t="s">
        <v>174</v>
      </c>
      <c r="P18" s="43">
        <v>2</v>
      </c>
      <c r="Q18" s="45">
        <v>10713</v>
      </c>
      <c r="R18" s="45">
        <v>0</v>
      </c>
      <c r="S18" s="45">
        <v>10713</v>
      </c>
    </row>
    <row r="19" spans="1:19" x14ac:dyDescent="0.3">
      <c r="A19" s="21">
        <v>10018</v>
      </c>
      <c r="B19" s="21" t="s">
        <v>807</v>
      </c>
      <c r="C19" s="21" t="s">
        <v>808</v>
      </c>
      <c r="D19" s="21">
        <v>9576726420</v>
      </c>
      <c r="E19" s="21" t="s">
        <v>172</v>
      </c>
      <c r="F19" s="21" t="s">
        <v>150</v>
      </c>
      <c r="G19" s="43" t="s">
        <v>99</v>
      </c>
      <c r="H19" s="43" t="s">
        <v>92</v>
      </c>
      <c r="I19" s="43">
        <v>1</v>
      </c>
      <c r="J19" s="43">
        <v>3281</v>
      </c>
      <c r="K19" s="43">
        <v>0</v>
      </c>
      <c r="L19" s="44">
        <v>45468</v>
      </c>
      <c r="M19" s="43" t="s">
        <v>43</v>
      </c>
      <c r="N19" s="43" t="s">
        <v>25</v>
      </c>
      <c r="O19" s="43" t="s">
        <v>45</v>
      </c>
      <c r="P19" s="43">
        <v>2</v>
      </c>
      <c r="Q19" s="45">
        <v>3281</v>
      </c>
      <c r="R19" s="45">
        <v>0</v>
      </c>
      <c r="S19" s="45">
        <v>3281</v>
      </c>
    </row>
    <row r="20" spans="1:19" x14ac:dyDescent="0.3">
      <c r="A20" s="21">
        <v>10019</v>
      </c>
      <c r="B20" s="21" t="s">
        <v>822</v>
      </c>
      <c r="C20" s="21" t="s">
        <v>1755</v>
      </c>
      <c r="D20" s="21">
        <v>9100354435</v>
      </c>
      <c r="E20" s="21" t="s">
        <v>57</v>
      </c>
      <c r="F20" s="21" t="s">
        <v>50</v>
      </c>
      <c r="G20" s="43" t="s">
        <v>179</v>
      </c>
      <c r="H20" s="43" t="s">
        <v>60</v>
      </c>
      <c r="I20" s="43">
        <v>1</v>
      </c>
      <c r="J20" s="43">
        <v>243</v>
      </c>
      <c r="K20" s="43">
        <v>0</v>
      </c>
      <c r="L20" s="44">
        <v>45600</v>
      </c>
      <c r="M20" s="43" t="s">
        <v>24</v>
      </c>
      <c r="N20" s="43" t="s">
        <v>25</v>
      </c>
      <c r="O20" s="43" t="s">
        <v>53</v>
      </c>
      <c r="P20" s="43">
        <v>3</v>
      </c>
      <c r="Q20" s="45">
        <v>243</v>
      </c>
      <c r="R20" s="45">
        <v>0</v>
      </c>
      <c r="S20" s="45">
        <v>243</v>
      </c>
    </row>
    <row r="21" spans="1:19" x14ac:dyDescent="0.3">
      <c r="A21" s="21">
        <v>10020</v>
      </c>
      <c r="B21" s="21" t="s">
        <v>72</v>
      </c>
      <c r="C21" s="21" t="s">
        <v>1711</v>
      </c>
      <c r="D21" s="21">
        <v>9212400119</v>
      </c>
      <c r="E21" s="21" t="s">
        <v>273</v>
      </c>
      <c r="F21" s="21" t="s">
        <v>50</v>
      </c>
      <c r="G21" s="43" t="s">
        <v>179</v>
      </c>
      <c r="H21" s="43" t="s">
        <v>60</v>
      </c>
      <c r="I21" s="43">
        <v>3</v>
      </c>
      <c r="J21" s="43">
        <v>576</v>
      </c>
      <c r="K21" s="43">
        <v>0</v>
      </c>
      <c r="L21" s="44">
        <v>45446</v>
      </c>
      <c r="M21" s="43" t="s">
        <v>43</v>
      </c>
      <c r="N21" s="43" t="s">
        <v>456</v>
      </c>
      <c r="O21" s="43" t="s">
        <v>45</v>
      </c>
      <c r="P21" s="43">
        <v>1</v>
      </c>
      <c r="Q21" s="45">
        <v>1728</v>
      </c>
      <c r="R21" s="45">
        <v>0</v>
      </c>
      <c r="S21" s="45">
        <v>1728</v>
      </c>
    </row>
    <row r="22" spans="1:19" x14ac:dyDescent="0.3">
      <c r="A22" s="21">
        <v>10021</v>
      </c>
      <c r="B22" s="21" t="s">
        <v>845</v>
      </c>
      <c r="C22" s="21" t="s">
        <v>1759</v>
      </c>
      <c r="D22" s="21">
        <v>9103793379</v>
      </c>
      <c r="E22" s="21" t="s">
        <v>273</v>
      </c>
      <c r="F22" s="21" t="s">
        <v>50</v>
      </c>
      <c r="G22" s="43" t="s">
        <v>21</v>
      </c>
      <c r="H22" s="43" t="s">
        <v>22</v>
      </c>
      <c r="I22" s="43">
        <v>3</v>
      </c>
      <c r="J22" s="43">
        <v>1197</v>
      </c>
      <c r="K22" s="43">
        <v>5</v>
      </c>
      <c r="L22" s="44">
        <v>45567</v>
      </c>
      <c r="M22" s="43" t="s">
        <v>1646</v>
      </c>
      <c r="N22" s="43" t="s">
        <v>25</v>
      </c>
      <c r="O22" s="43" t="s">
        <v>1641</v>
      </c>
      <c r="P22" s="43">
        <v>3</v>
      </c>
      <c r="Q22" s="45">
        <v>3591</v>
      </c>
      <c r="R22" s="45">
        <v>179.55</v>
      </c>
      <c r="S22" s="45">
        <v>3411.45</v>
      </c>
    </row>
    <row r="23" spans="1:19" x14ac:dyDescent="0.3">
      <c r="A23" s="21">
        <v>10022</v>
      </c>
      <c r="B23" s="21" t="s">
        <v>1584</v>
      </c>
      <c r="C23" s="21" t="s">
        <v>1801</v>
      </c>
      <c r="D23" s="21" t="s">
        <v>1812</v>
      </c>
      <c r="E23" s="21" t="s">
        <v>273</v>
      </c>
      <c r="F23" s="21" t="s">
        <v>50</v>
      </c>
      <c r="G23" s="43" t="s">
        <v>411</v>
      </c>
      <c r="H23" s="43" t="s">
        <v>83</v>
      </c>
      <c r="I23" s="43">
        <v>4</v>
      </c>
      <c r="J23" s="43">
        <v>53800</v>
      </c>
      <c r="K23" s="43">
        <v>5</v>
      </c>
      <c r="L23" s="44">
        <v>45588</v>
      </c>
      <c r="M23" s="43" t="s">
        <v>24</v>
      </c>
      <c r="N23" s="43" t="s">
        <v>25</v>
      </c>
      <c r="O23" s="43" t="s">
        <v>174</v>
      </c>
      <c r="P23" s="43" t="s">
        <v>1813</v>
      </c>
      <c r="Q23" s="45">
        <v>215200</v>
      </c>
      <c r="R23" s="45">
        <v>10760</v>
      </c>
      <c r="S23" s="45">
        <v>204440</v>
      </c>
    </row>
    <row r="24" spans="1:19" x14ac:dyDescent="0.3">
      <c r="A24" s="21">
        <v>10023</v>
      </c>
      <c r="B24" s="21" t="s">
        <v>1191</v>
      </c>
      <c r="C24" s="21" t="s">
        <v>1790</v>
      </c>
      <c r="D24" s="21">
        <v>9166996629</v>
      </c>
      <c r="E24" s="21" t="s">
        <v>111</v>
      </c>
      <c r="F24" s="21" t="s">
        <v>111</v>
      </c>
      <c r="G24" s="43" t="s">
        <v>99</v>
      </c>
      <c r="H24" s="43" t="s">
        <v>92</v>
      </c>
      <c r="I24" s="43">
        <v>2</v>
      </c>
      <c r="J24" s="43">
        <v>2596</v>
      </c>
      <c r="K24" s="43">
        <v>10</v>
      </c>
      <c r="L24" s="44">
        <v>45411</v>
      </c>
      <c r="M24" s="43" t="s">
        <v>24</v>
      </c>
      <c r="N24" s="43" t="s">
        <v>25</v>
      </c>
      <c r="O24" s="43" t="s">
        <v>174</v>
      </c>
      <c r="P24" s="43">
        <v>2</v>
      </c>
      <c r="Q24" s="45">
        <v>5192</v>
      </c>
      <c r="R24" s="45">
        <v>519.20000000000005</v>
      </c>
      <c r="S24" s="45">
        <v>4672.8</v>
      </c>
    </row>
    <row r="25" spans="1:19" x14ac:dyDescent="0.3">
      <c r="A25" s="21">
        <v>10024</v>
      </c>
      <c r="B25" s="21" t="s">
        <v>95</v>
      </c>
      <c r="C25" s="21" t="s">
        <v>1648</v>
      </c>
      <c r="D25" s="21">
        <v>9601519538</v>
      </c>
      <c r="E25" s="21" t="s">
        <v>38</v>
      </c>
      <c r="F25" s="21" t="s">
        <v>429</v>
      </c>
      <c r="G25" s="43" t="s">
        <v>231</v>
      </c>
      <c r="H25" s="43" t="s">
        <v>83</v>
      </c>
      <c r="I25" s="43">
        <v>1</v>
      </c>
      <c r="J25" s="43">
        <v>1789</v>
      </c>
      <c r="K25" s="43">
        <v>0</v>
      </c>
      <c r="L25" s="44">
        <v>45355</v>
      </c>
      <c r="M25" s="43" t="s">
        <v>69</v>
      </c>
      <c r="N25" s="43" t="s">
        <v>456</v>
      </c>
      <c r="O25" s="43" t="s">
        <v>71</v>
      </c>
      <c r="P25" s="43">
        <v>2</v>
      </c>
      <c r="Q25" s="45">
        <v>1789</v>
      </c>
      <c r="R25" s="45">
        <v>0</v>
      </c>
      <c r="S25" s="45">
        <v>1789</v>
      </c>
    </row>
    <row r="26" spans="1:19" x14ac:dyDescent="0.3">
      <c r="A26" s="21">
        <v>10025</v>
      </c>
      <c r="B26" s="21" t="s">
        <v>314</v>
      </c>
      <c r="C26" s="21" t="s">
        <v>315</v>
      </c>
      <c r="D26" s="21">
        <v>9597270585</v>
      </c>
      <c r="E26" s="21" t="s">
        <v>74</v>
      </c>
      <c r="F26" s="21" t="s">
        <v>75</v>
      </c>
      <c r="G26" s="43" t="s">
        <v>106</v>
      </c>
      <c r="H26" s="43" t="s">
        <v>83</v>
      </c>
      <c r="I26" s="43">
        <v>2</v>
      </c>
      <c r="J26" s="43">
        <v>5729</v>
      </c>
      <c r="K26" s="43">
        <v>10</v>
      </c>
      <c r="L26" s="44">
        <v>45348</v>
      </c>
      <c r="M26" s="43" t="s">
        <v>24</v>
      </c>
      <c r="N26" s="43" t="s">
        <v>25</v>
      </c>
      <c r="O26" s="43" t="s">
        <v>1641</v>
      </c>
      <c r="P26" s="43">
        <v>1</v>
      </c>
      <c r="Q26" s="45">
        <v>11458</v>
      </c>
      <c r="R26" s="45">
        <v>1145.8</v>
      </c>
      <c r="S26" s="45">
        <v>10312.200000000001</v>
      </c>
    </row>
    <row r="27" spans="1:19" x14ac:dyDescent="0.3">
      <c r="A27" s="21">
        <v>10026</v>
      </c>
      <c r="B27" s="21" t="s">
        <v>95</v>
      </c>
      <c r="C27" s="21" t="s">
        <v>1648</v>
      </c>
      <c r="D27" s="21">
        <v>9731328331</v>
      </c>
      <c r="E27" s="21" t="s">
        <v>391</v>
      </c>
      <c r="F27" s="21" t="s">
        <v>90</v>
      </c>
      <c r="G27" s="43" t="s">
        <v>99</v>
      </c>
      <c r="H27" s="43" t="s">
        <v>92</v>
      </c>
      <c r="I27" s="43">
        <v>5</v>
      </c>
      <c r="J27" s="43">
        <v>3157</v>
      </c>
      <c r="K27" s="43">
        <v>0</v>
      </c>
      <c r="L27" s="44">
        <v>45557</v>
      </c>
      <c r="M27" s="43" t="s">
        <v>1649</v>
      </c>
      <c r="N27" s="43" t="s">
        <v>25</v>
      </c>
      <c r="O27" s="43" t="s">
        <v>71</v>
      </c>
      <c r="P27" s="43">
        <v>4</v>
      </c>
      <c r="Q27" s="45">
        <v>15785</v>
      </c>
      <c r="R27" s="45">
        <v>0</v>
      </c>
      <c r="S27" s="45">
        <v>15785</v>
      </c>
    </row>
    <row r="28" spans="1:19" x14ac:dyDescent="0.3">
      <c r="A28" s="21">
        <v>10027</v>
      </c>
      <c r="B28" s="21" t="s">
        <v>95</v>
      </c>
      <c r="C28" s="21" t="s">
        <v>1648</v>
      </c>
      <c r="D28" s="21">
        <v>9173384619</v>
      </c>
      <c r="E28" s="21" t="s">
        <v>197</v>
      </c>
      <c r="F28" s="21" t="s">
        <v>191</v>
      </c>
      <c r="G28" s="43" t="s">
        <v>99</v>
      </c>
      <c r="H28" s="43" t="s">
        <v>92</v>
      </c>
      <c r="I28" s="43">
        <v>3</v>
      </c>
      <c r="J28" s="43">
        <v>4571</v>
      </c>
      <c r="K28" s="43">
        <v>0</v>
      </c>
      <c r="L28" s="44">
        <v>45476</v>
      </c>
      <c r="M28" s="43" t="s">
        <v>43</v>
      </c>
      <c r="N28" s="43" t="s">
        <v>25</v>
      </c>
      <c r="O28" s="43" t="s">
        <v>71</v>
      </c>
      <c r="P28" s="43" t="s">
        <v>1813</v>
      </c>
      <c r="Q28" s="45">
        <v>13713</v>
      </c>
      <c r="R28" s="45">
        <v>0</v>
      </c>
      <c r="S28" s="45">
        <v>13713</v>
      </c>
    </row>
    <row r="29" spans="1:19" x14ac:dyDescent="0.3">
      <c r="A29" s="21">
        <v>10028</v>
      </c>
      <c r="B29" s="21" t="s">
        <v>295</v>
      </c>
      <c r="C29" s="21" t="s">
        <v>1654</v>
      </c>
      <c r="D29" s="21">
        <v>9280764555</v>
      </c>
      <c r="E29" s="21" t="s">
        <v>74</v>
      </c>
      <c r="F29" s="21" t="s">
        <v>75</v>
      </c>
      <c r="G29" s="43" t="s">
        <v>155</v>
      </c>
      <c r="H29" s="43" t="s">
        <v>92</v>
      </c>
      <c r="I29" s="43">
        <v>4</v>
      </c>
      <c r="J29" s="43">
        <v>655</v>
      </c>
      <c r="K29" s="43">
        <v>0</v>
      </c>
      <c r="L29" s="44">
        <v>45380</v>
      </c>
      <c r="M29" s="43" t="s">
        <v>1646</v>
      </c>
      <c r="N29" s="43" t="s">
        <v>25</v>
      </c>
      <c r="O29" s="43" t="s">
        <v>45</v>
      </c>
      <c r="P29" s="43">
        <v>1</v>
      </c>
      <c r="Q29" s="45">
        <v>2620</v>
      </c>
      <c r="R29" s="45">
        <v>0</v>
      </c>
      <c r="S29" s="45">
        <v>2620</v>
      </c>
    </row>
    <row r="30" spans="1:19" x14ac:dyDescent="0.3">
      <c r="A30" s="21">
        <v>10029</v>
      </c>
      <c r="B30" s="21" t="s">
        <v>598</v>
      </c>
      <c r="C30" s="21" t="s">
        <v>1725</v>
      </c>
      <c r="D30" s="21">
        <v>9196780688</v>
      </c>
      <c r="E30" s="21" t="s">
        <v>273</v>
      </c>
      <c r="F30" s="21" t="s">
        <v>50</v>
      </c>
      <c r="G30" s="43" t="s">
        <v>21</v>
      </c>
      <c r="H30" s="43" t="s">
        <v>22</v>
      </c>
      <c r="I30" s="43">
        <v>5</v>
      </c>
      <c r="J30" s="43">
        <v>609</v>
      </c>
      <c r="K30" s="43">
        <v>20</v>
      </c>
      <c r="L30" s="44">
        <v>45550</v>
      </c>
      <c r="M30" s="43" t="s">
        <v>43</v>
      </c>
      <c r="N30" s="43" t="s">
        <v>25</v>
      </c>
      <c r="O30" s="43" t="s">
        <v>34</v>
      </c>
      <c r="P30" s="43" t="s">
        <v>1813</v>
      </c>
      <c r="Q30" s="45">
        <v>3045</v>
      </c>
      <c r="R30" s="45">
        <v>609</v>
      </c>
      <c r="S30" s="45">
        <v>2436</v>
      </c>
    </row>
    <row r="31" spans="1:19" x14ac:dyDescent="0.3">
      <c r="A31" s="21">
        <v>10030</v>
      </c>
      <c r="B31" s="21" t="s">
        <v>462</v>
      </c>
      <c r="C31" s="21" t="s">
        <v>1705</v>
      </c>
      <c r="D31" s="21">
        <v>9840623451</v>
      </c>
      <c r="E31" s="21" t="s">
        <v>197</v>
      </c>
      <c r="F31" s="21" t="s">
        <v>191</v>
      </c>
      <c r="G31" s="43" t="s">
        <v>204</v>
      </c>
      <c r="H31" s="43" t="s">
        <v>143</v>
      </c>
      <c r="I31" s="43">
        <v>2</v>
      </c>
      <c r="J31" s="43">
        <v>438</v>
      </c>
      <c r="K31" s="43">
        <v>0</v>
      </c>
      <c r="L31" s="44">
        <v>45634</v>
      </c>
      <c r="M31" s="43" t="s">
        <v>1646</v>
      </c>
      <c r="N31" s="43" t="s">
        <v>25</v>
      </c>
      <c r="O31" s="43" t="s">
        <v>34</v>
      </c>
      <c r="P31" s="43" t="s">
        <v>1813</v>
      </c>
      <c r="Q31" s="45">
        <v>876</v>
      </c>
      <c r="R31" s="45">
        <v>0</v>
      </c>
      <c r="S31" s="45">
        <v>876</v>
      </c>
    </row>
    <row r="32" spans="1:19" x14ac:dyDescent="0.3">
      <c r="A32" s="21">
        <v>10031</v>
      </c>
      <c r="B32" s="21" t="s">
        <v>72</v>
      </c>
      <c r="C32" s="21" t="s">
        <v>1711</v>
      </c>
      <c r="D32" s="21">
        <v>9558981118</v>
      </c>
      <c r="E32" s="21" t="s">
        <v>391</v>
      </c>
      <c r="F32" s="21" t="s">
        <v>90</v>
      </c>
      <c r="G32" s="43" t="s">
        <v>226</v>
      </c>
      <c r="H32" s="43" t="s">
        <v>22</v>
      </c>
      <c r="I32" s="43">
        <v>1</v>
      </c>
      <c r="J32" s="43">
        <v>740</v>
      </c>
      <c r="K32" s="43">
        <v>20</v>
      </c>
      <c r="L32" s="44">
        <v>45578</v>
      </c>
      <c r="M32" s="43" t="s">
        <v>1646</v>
      </c>
      <c r="N32" s="43" t="s">
        <v>25</v>
      </c>
      <c r="O32" s="43" t="s">
        <v>174</v>
      </c>
      <c r="P32" s="43">
        <v>2</v>
      </c>
      <c r="Q32" s="45">
        <v>740</v>
      </c>
      <c r="R32" s="45">
        <v>148</v>
      </c>
      <c r="S32" s="45">
        <v>592</v>
      </c>
    </row>
    <row r="33" spans="1:19" x14ac:dyDescent="0.3">
      <c r="A33" s="21">
        <v>10032</v>
      </c>
      <c r="B33" s="21" t="s">
        <v>1668</v>
      </c>
      <c r="C33" s="21" t="s">
        <v>1669</v>
      </c>
      <c r="D33" s="21">
        <v>9476505955</v>
      </c>
      <c r="E33" s="21" t="s">
        <v>57</v>
      </c>
      <c r="F33" s="21" t="s">
        <v>50</v>
      </c>
      <c r="G33" s="43" t="s">
        <v>411</v>
      </c>
      <c r="H33" s="43" t="s">
        <v>83</v>
      </c>
      <c r="I33" s="43">
        <v>5</v>
      </c>
      <c r="J33" s="43">
        <v>46871</v>
      </c>
      <c r="K33" s="43">
        <v>0</v>
      </c>
      <c r="L33" s="44">
        <v>45612</v>
      </c>
      <c r="M33" s="43" t="s">
        <v>43</v>
      </c>
      <c r="N33" s="43" t="s">
        <v>456</v>
      </c>
      <c r="O33" s="43" t="s">
        <v>53</v>
      </c>
      <c r="P33" s="43" t="s">
        <v>1813</v>
      </c>
      <c r="Q33" s="45">
        <v>234355</v>
      </c>
      <c r="R33" s="45">
        <v>0</v>
      </c>
      <c r="S33" s="45">
        <v>234355</v>
      </c>
    </row>
    <row r="34" spans="1:19" x14ac:dyDescent="0.3">
      <c r="A34" s="21">
        <v>10033</v>
      </c>
      <c r="B34" s="21" t="s">
        <v>1014</v>
      </c>
      <c r="C34" s="21" t="s">
        <v>1713</v>
      </c>
      <c r="D34" s="21">
        <v>9483465870</v>
      </c>
      <c r="E34" s="21" t="s">
        <v>38</v>
      </c>
      <c r="F34" s="21" t="s">
        <v>429</v>
      </c>
      <c r="G34" s="43" t="s">
        <v>231</v>
      </c>
      <c r="H34" s="43" t="s">
        <v>83</v>
      </c>
      <c r="I34" s="43">
        <v>2</v>
      </c>
      <c r="J34" s="43">
        <v>1541</v>
      </c>
      <c r="K34" s="43">
        <v>20</v>
      </c>
      <c r="L34" s="44">
        <v>45478</v>
      </c>
      <c r="M34" s="43" t="s">
        <v>1646</v>
      </c>
      <c r="N34" s="43" t="s">
        <v>25</v>
      </c>
      <c r="O34" s="43" t="s">
        <v>53</v>
      </c>
      <c r="P34" s="43">
        <v>2</v>
      </c>
      <c r="Q34" s="45">
        <v>3082</v>
      </c>
      <c r="R34" s="45">
        <v>616.4</v>
      </c>
      <c r="S34" s="45">
        <v>2465.6</v>
      </c>
    </row>
    <row r="35" spans="1:19" x14ac:dyDescent="0.3">
      <c r="A35" s="21">
        <v>10034</v>
      </c>
      <c r="B35" s="21" t="s">
        <v>35</v>
      </c>
      <c r="C35" s="21" t="s">
        <v>1795</v>
      </c>
      <c r="D35" s="21" t="s">
        <v>1812</v>
      </c>
      <c r="E35" s="21" t="s">
        <v>38</v>
      </c>
      <c r="F35" s="21" t="s">
        <v>429</v>
      </c>
      <c r="G35" s="43" t="s">
        <v>204</v>
      </c>
      <c r="H35" s="43" t="s">
        <v>143</v>
      </c>
      <c r="I35" s="43">
        <v>3</v>
      </c>
      <c r="J35" s="43">
        <v>473</v>
      </c>
      <c r="K35" s="43">
        <v>0</v>
      </c>
      <c r="L35" s="44">
        <v>45584</v>
      </c>
      <c r="M35" s="43" t="s">
        <v>24</v>
      </c>
      <c r="N35" s="43" t="s">
        <v>25</v>
      </c>
      <c r="O35" s="43" t="s">
        <v>1641</v>
      </c>
      <c r="P35" s="43">
        <v>1</v>
      </c>
      <c r="Q35" s="45">
        <v>1419</v>
      </c>
      <c r="R35" s="45">
        <v>0</v>
      </c>
      <c r="S35" s="45">
        <v>1419</v>
      </c>
    </row>
    <row r="36" spans="1:19" x14ac:dyDescent="0.3">
      <c r="A36" s="21">
        <v>10035</v>
      </c>
      <c r="B36" s="21" t="s">
        <v>490</v>
      </c>
      <c r="C36" s="21" t="s">
        <v>1709</v>
      </c>
      <c r="D36" s="21">
        <v>9225925001</v>
      </c>
      <c r="E36" s="21" t="s">
        <v>172</v>
      </c>
      <c r="F36" s="21" t="s">
        <v>150</v>
      </c>
      <c r="G36" s="43" t="s">
        <v>155</v>
      </c>
      <c r="H36" s="43" t="s">
        <v>92</v>
      </c>
      <c r="I36" s="43">
        <v>5</v>
      </c>
      <c r="J36" s="43">
        <v>715</v>
      </c>
      <c r="K36" s="43">
        <v>5</v>
      </c>
      <c r="L36" s="44">
        <v>45361</v>
      </c>
      <c r="M36" s="43" t="s">
        <v>1646</v>
      </c>
      <c r="N36" s="43" t="s">
        <v>25</v>
      </c>
      <c r="O36" s="43" t="s">
        <v>53</v>
      </c>
      <c r="P36" s="43">
        <v>3</v>
      </c>
      <c r="Q36" s="45">
        <v>3575</v>
      </c>
      <c r="R36" s="45">
        <v>178.75</v>
      </c>
      <c r="S36" s="45">
        <v>3396.25</v>
      </c>
    </row>
    <row r="37" spans="1:19" x14ac:dyDescent="0.3">
      <c r="A37" s="21">
        <v>10036</v>
      </c>
      <c r="B37" s="21" t="s">
        <v>795</v>
      </c>
      <c r="C37" s="21" t="s">
        <v>1665</v>
      </c>
      <c r="D37" s="21">
        <v>9823531862</v>
      </c>
      <c r="E37" s="21" t="s">
        <v>74</v>
      </c>
      <c r="F37" s="21" t="s">
        <v>75</v>
      </c>
      <c r="G37" s="43" t="s">
        <v>204</v>
      </c>
      <c r="H37" s="43" t="s">
        <v>143</v>
      </c>
      <c r="I37" s="43">
        <v>3</v>
      </c>
      <c r="J37" s="43">
        <v>415</v>
      </c>
      <c r="K37" s="43">
        <v>15</v>
      </c>
      <c r="L37" s="44">
        <v>45326</v>
      </c>
      <c r="M37" s="43" t="s">
        <v>1646</v>
      </c>
      <c r="N37" s="43" t="s">
        <v>25</v>
      </c>
      <c r="O37" s="43" t="s">
        <v>45</v>
      </c>
      <c r="P37" s="43">
        <v>5</v>
      </c>
      <c r="Q37" s="45">
        <v>1245</v>
      </c>
      <c r="R37" s="45">
        <v>186.75</v>
      </c>
      <c r="S37" s="45">
        <v>1058.25</v>
      </c>
    </row>
    <row r="38" spans="1:19" x14ac:dyDescent="0.3">
      <c r="A38" s="21">
        <v>10037</v>
      </c>
      <c r="B38" s="21" t="s">
        <v>1700</v>
      </c>
      <c r="C38" s="21" t="s">
        <v>1701</v>
      </c>
      <c r="D38" s="21">
        <v>9259145178</v>
      </c>
      <c r="E38" s="21" t="s">
        <v>38</v>
      </c>
      <c r="F38" s="21" t="s">
        <v>429</v>
      </c>
      <c r="G38" s="43" t="s">
        <v>155</v>
      </c>
      <c r="H38" s="43" t="s">
        <v>92</v>
      </c>
      <c r="I38" s="43">
        <v>3</v>
      </c>
      <c r="J38" s="43">
        <v>1432</v>
      </c>
      <c r="K38" s="43">
        <v>0</v>
      </c>
      <c r="L38" s="44">
        <v>45361</v>
      </c>
      <c r="M38" s="43" t="s">
        <v>43</v>
      </c>
      <c r="N38" s="43" t="s">
        <v>25</v>
      </c>
      <c r="O38" s="43" t="s">
        <v>53</v>
      </c>
      <c r="P38" s="43" t="s">
        <v>1813</v>
      </c>
      <c r="Q38" s="45">
        <v>4296</v>
      </c>
      <c r="R38" s="45">
        <v>0</v>
      </c>
      <c r="S38" s="45">
        <v>4296</v>
      </c>
    </row>
    <row r="39" spans="1:19" x14ac:dyDescent="0.3">
      <c r="A39" s="21">
        <v>10038</v>
      </c>
      <c r="B39" s="21" t="s">
        <v>722</v>
      </c>
      <c r="C39" s="21" t="s">
        <v>1704</v>
      </c>
      <c r="D39" s="21">
        <v>9728866278</v>
      </c>
      <c r="E39" s="21" t="s">
        <v>391</v>
      </c>
      <c r="F39" s="21" t="s">
        <v>90</v>
      </c>
      <c r="G39" s="43" t="s">
        <v>411</v>
      </c>
      <c r="H39" s="43" t="s">
        <v>83</v>
      </c>
      <c r="I39" s="43">
        <v>2</v>
      </c>
      <c r="J39" s="43">
        <v>56284</v>
      </c>
      <c r="K39" s="43">
        <v>20</v>
      </c>
      <c r="L39" s="44">
        <v>45618</v>
      </c>
      <c r="M39" s="43" t="s">
        <v>24</v>
      </c>
      <c r="N39" s="43" t="s">
        <v>25</v>
      </c>
      <c r="O39" s="43" t="s">
        <v>53</v>
      </c>
      <c r="P39" s="43">
        <v>1</v>
      </c>
      <c r="Q39" s="45">
        <v>112568</v>
      </c>
      <c r="R39" s="45">
        <v>22513.599999999999</v>
      </c>
      <c r="S39" s="45">
        <v>90054.399999999994</v>
      </c>
    </row>
    <row r="40" spans="1:19" x14ac:dyDescent="0.3">
      <c r="A40" s="21">
        <v>10039</v>
      </c>
      <c r="B40" s="21" t="s">
        <v>722</v>
      </c>
      <c r="C40" s="21" t="s">
        <v>1704</v>
      </c>
      <c r="D40" s="21">
        <v>9878214613</v>
      </c>
      <c r="E40" s="21" t="s">
        <v>57</v>
      </c>
      <c r="F40" s="21" t="s">
        <v>50</v>
      </c>
      <c r="G40" s="43" t="s">
        <v>155</v>
      </c>
      <c r="H40" s="43" t="s">
        <v>92</v>
      </c>
      <c r="I40" s="43">
        <v>2</v>
      </c>
      <c r="J40" s="43">
        <v>864</v>
      </c>
      <c r="K40" s="43">
        <v>5</v>
      </c>
      <c r="L40" s="44">
        <v>45315</v>
      </c>
      <c r="M40" s="43" t="s">
        <v>24</v>
      </c>
      <c r="N40" s="43" t="s">
        <v>456</v>
      </c>
      <c r="O40" s="43" t="s">
        <v>71</v>
      </c>
      <c r="P40" s="43">
        <v>2</v>
      </c>
      <c r="Q40" s="45">
        <v>1728</v>
      </c>
      <c r="R40" s="45">
        <v>86.4</v>
      </c>
      <c r="S40" s="45">
        <v>1641.6</v>
      </c>
    </row>
    <row r="41" spans="1:19" x14ac:dyDescent="0.3">
      <c r="A41" s="21">
        <v>10040</v>
      </c>
      <c r="B41" s="21" t="s">
        <v>940</v>
      </c>
      <c r="C41" s="21" t="s">
        <v>1724</v>
      </c>
      <c r="D41" s="21">
        <v>9351032723</v>
      </c>
      <c r="E41" s="21" t="s">
        <v>57</v>
      </c>
      <c r="F41" s="21" t="s">
        <v>50</v>
      </c>
      <c r="G41" s="43" t="s">
        <v>151</v>
      </c>
      <c r="H41" s="43" t="s">
        <v>143</v>
      </c>
      <c r="I41" s="43">
        <v>4</v>
      </c>
      <c r="J41" s="43">
        <v>385</v>
      </c>
      <c r="K41" s="43">
        <v>20</v>
      </c>
      <c r="L41" s="44">
        <v>45657</v>
      </c>
      <c r="M41" s="43" t="s">
        <v>69</v>
      </c>
      <c r="N41" s="43" t="s">
        <v>25</v>
      </c>
      <c r="O41" s="43" t="s">
        <v>53</v>
      </c>
      <c r="P41" s="43">
        <v>3</v>
      </c>
      <c r="Q41" s="45">
        <v>1540</v>
      </c>
      <c r="R41" s="45">
        <v>308</v>
      </c>
      <c r="S41" s="45">
        <v>1232</v>
      </c>
    </row>
    <row r="42" spans="1:19" x14ac:dyDescent="0.3">
      <c r="A42" s="21">
        <v>10041</v>
      </c>
      <c r="B42" s="21" t="s">
        <v>749</v>
      </c>
      <c r="C42" s="21" t="s">
        <v>1749</v>
      </c>
      <c r="D42" s="21">
        <v>9946179261</v>
      </c>
      <c r="E42" s="21" t="s">
        <v>371</v>
      </c>
      <c r="F42" s="21" t="s">
        <v>98</v>
      </c>
      <c r="G42" s="43" t="s">
        <v>161</v>
      </c>
      <c r="H42" s="43" t="s">
        <v>83</v>
      </c>
      <c r="I42" s="43">
        <v>5</v>
      </c>
      <c r="J42" s="43">
        <v>21850</v>
      </c>
      <c r="K42" s="43">
        <v>10</v>
      </c>
      <c r="L42" s="44">
        <v>45445</v>
      </c>
      <c r="M42" s="43" t="s">
        <v>43</v>
      </c>
      <c r="N42" s="43" t="s">
        <v>25</v>
      </c>
      <c r="O42" s="43" t="s">
        <v>1641</v>
      </c>
      <c r="P42" s="43" t="s">
        <v>1813</v>
      </c>
      <c r="Q42" s="45">
        <v>109250</v>
      </c>
      <c r="R42" s="45">
        <v>10925</v>
      </c>
      <c r="S42" s="45">
        <v>98325</v>
      </c>
    </row>
    <row r="43" spans="1:19" x14ac:dyDescent="0.3">
      <c r="A43" s="21">
        <v>10042</v>
      </c>
      <c r="B43" s="21" t="s">
        <v>1650</v>
      </c>
      <c r="C43" s="21" t="s">
        <v>1651</v>
      </c>
      <c r="D43" s="21">
        <v>9231464070</v>
      </c>
      <c r="E43" s="21" t="s">
        <v>219</v>
      </c>
      <c r="F43" s="21" t="s">
        <v>150</v>
      </c>
      <c r="G43" s="43" t="s">
        <v>411</v>
      </c>
      <c r="H43" s="43" t="s">
        <v>83</v>
      </c>
      <c r="I43" s="43">
        <v>5</v>
      </c>
      <c r="J43" s="43">
        <v>64886</v>
      </c>
      <c r="K43" s="43">
        <v>0</v>
      </c>
      <c r="L43" s="44">
        <v>45559</v>
      </c>
      <c r="M43" s="43" t="s">
        <v>69</v>
      </c>
      <c r="N43" s="43" t="s">
        <v>25</v>
      </c>
      <c r="O43" s="43" t="s">
        <v>71</v>
      </c>
      <c r="P43" s="43">
        <v>4</v>
      </c>
      <c r="Q43" s="45">
        <v>324430</v>
      </c>
      <c r="R43" s="45">
        <v>0</v>
      </c>
      <c r="S43" s="45">
        <v>324430</v>
      </c>
    </row>
    <row r="44" spans="1:19" x14ac:dyDescent="0.3">
      <c r="A44" s="21">
        <v>10043</v>
      </c>
      <c r="B44" s="21" t="s">
        <v>1716</v>
      </c>
      <c r="C44" s="21" t="s">
        <v>1717</v>
      </c>
      <c r="D44" s="21">
        <v>9306383063</v>
      </c>
      <c r="E44" s="21" t="s">
        <v>197</v>
      </c>
      <c r="F44" s="21" t="s">
        <v>191</v>
      </c>
      <c r="G44" s="43" t="s">
        <v>231</v>
      </c>
      <c r="H44" s="43" t="s">
        <v>83</v>
      </c>
      <c r="I44" s="43">
        <v>3</v>
      </c>
      <c r="J44" s="43">
        <v>2259</v>
      </c>
      <c r="K44" s="43">
        <v>0</v>
      </c>
      <c r="L44" s="44">
        <v>45350</v>
      </c>
      <c r="M44" s="43" t="s">
        <v>1646</v>
      </c>
      <c r="N44" s="43" t="s">
        <v>25</v>
      </c>
      <c r="O44" s="43" t="s">
        <v>174</v>
      </c>
      <c r="P44" s="43">
        <v>4</v>
      </c>
      <c r="Q44" s="45">
        <v>6777</v>
      </c>
      <c r="R44" s="45">
        <v>0</v>
      </c>
      <c r="S44" s="45">
        <v>6777</v>
      </c>
    </row>
    <row r="45" spans="1:19" x14ac:dyDescent="0.3">
      <c r="A45" s="21">
        <v>10044</v>
      </c>
      <c r="B45" s="21" t="s">
        <v>538</v>
      </c>
      <c r="C45" s="21" t="s">
        <v>1699</v>
      </c>
      <c r="D45" s="21" t="s">
        <v>1812</v>
      </c>
      <c r="E45" s="21" t="s">
        <v>343</v>
      </c>
      <c r="F45" s="21" t="s">
        <v>50</v>
      </c>
      <c r="G45" s="43" t="s">
        <v>161</v>
      </c>
      <c r="H45" s="43" t="s">
        <v>83</v>
      </c>
      <c r="I45" s="43">
        <v>3</v>
      </c>
      <c r="J45" s="43">
        <v>16077</v>
      </c>
      <c r="K45" s="43">
        <v>15</v>
      </c>
      <c r="L45" s="44">
        <v>45522</v>
      </c>
      <c r="M45" s="43" t="s">
        <v>43</v>
      </c>
      <c r="N45" s="43" t="s">
        <v>25</v>
      </c>
      <c r="O45" s="43" t="s">
        <v>34</v>
      </c>
      <c r="P45" s="43">
        <v>2</v>
      </c>
      <c r="Q45" s="45">
        <v>48231</v>
      </c>
      <c r="R45" s="45">
        <v>7234.65</v>
      </c>
      <c r="S45" s="45">
        <v>40996.35</v>
      </c>
    </row>
    <row r="46" spans="1:19" x14ac:dyDescent="0.3">
      <c r="A46" s="21">
        <v>10045</v>
      </c>
      <c r="B46" s="21" t="s">
        <v>1043</v>
      </c>
      <c r="C46" s="21" t="s">
        <v>1741</v>
      </c>
      <c r="D46" s="21">
        <v>9515370656</v>
      </c>
      <c r="E46" s="21" t="s">
        <v>57</v>
      </c>
      <c r="F46" s="21" t="s">
        <v>50</v>
      </c>
      <c r="G46" s="43" t="s">
        <v>155</v>
      </c>
      <c r="H46" s="43" t="s">
        <v>92</v>
      </c>
      <c r="I46" s="43">
        <v>3</v>
      </c>
      <c r="J46" s="43">
        <v>1068</v>
      </c>
      <c r="K46" s="43">
        <v>0</v>
      </c>
      <c r="L46" s="44">
        <v>45517</v>
      </c>
      <c r="M46" s="43" t="s">
        <v>1649</v>
      </c>
      <c r="N46" s="43" t="s">
        <v>25</v>
      </c>
      <c r="O46" s="43" t="s">
        <v>53</v>
      </c>
      <c r="P46" s="43" t="s">
        <v>1813</v>
      </c>
      <c r="Q46" s="45">
        <v>3204</v>
      </c>
      <c r="R46" s="45">
        <v>0</v>
      </c>
      <c r="S46" s="45">
        <v>3204</v>
      </c>
    </row>
    <row r="47" spans="1:19" x14ac:dyDescent="0.3">
      <c r="A47" s="21">
        <v>10046</v>
      </c>
      <c r="B47" s="21" t="s">
        <v>1758</v>
      </c>
      <c r="C47" s="21" t="s">
        <v>1804</v>
      </c>
      <c r="D47" s="21" t="s">
        <v>1812</v>
      </c>
      <c r="E47" s="21" t="s">
        <v>371</v>
      </c>
      <c r="F47" s="21" t="s">
        <v>98</v>
      </c>
      <c r="G47" s="43" t="s">
        <v>151</v>
      </c>
      <c r="H47" s="43" t="s">
        <v>143</v>
      </c>
      <c r="I47" s="43">
        <v>5</v>
      </c>
      <c r="J47" s="43">
        <v>322</v>
      </c>
      <c r="K47" s="43">
        <v>0</v>
      </c>
      <c r="L47" s="44">
        <v>45634</v>
      </c>
      <c r="M47" s="43" t="s">
        <v>69</v>
      </c>
      <c r="N47" s="43" t="s">
        <v>25</v>
      </c>
      <c r="O47" s="43" t="s">
        <v>1641</v>
      </c>
      <c r="P47" s="43">
        <v>5</v>
      </c>
      <c r="Q47" s="45">
        <v>1610</v>
      </c>
      <c r="R47" s="45">
        <v>0</v>
      </c>
      <c r="S47" s="45">
        <v>1610</v>
      </c>
    </row>
    <row r="48" spans="1:19" x14ac:dyDescent="0.3">
      <c r="A48" s="21">
        <v>10047</v>
      </c>
      <c r="B48" s="21" t="s">
        <v>1524</v>
      </c>
      <c r="C48" s="21" t="s">
        <v>1754</v>
      </c>
      <c r="D48" s="21">
        <v>9900405988</v>
      </c>
      <c r="E48" s="21" t="s">
        <v>57</v>
      </c>
      <c r="F48" s="21" t="s">
        <v>50</v>
      </c>
      <c r="G48" s="43" t="s">
        <v>204</v>
      </c>
      <c r="H48" s="43" t="s">
        <v>143</v>
      </c>
      <c r="I48" s="43">
        <v>2</v>
      </c>
      <c r="J48" s="43">
        <v>303</v>
      </c>
      <c r="K48" s="43">
        <v>0</v>
      </c>
      <c r="L48" s="44">
        <v>45321</v>
      </c>
      <c r="M48" s="43" t="s">
        <v>43</v>
      </c>
      <c r="N48" s="43" t="s">
        <v>25</v>
      </c>
      <c r="O48" s="43" t="s">
        <v>45</v>
      </c>
      <c r="P48" s="43" t="s">
        <v>1813</v>
      </c>
      <c r="Q48" s="45">
        <v>606</v>
      </c>
      <c r="R48" s="45">
        <v>0</v>
      </c>
      <c r="S48" s="45">
        <v>606</v>
      </c>
    </row>
    <row r="49" spans="1:19" x14ac:dyDescent="0.3">
      <c r="A49" s="21">
        <v>10048</v>
      </c>
      <c r="B49" s="21" t="s">
        <v>981</v>
      </c>
      <c r="C49" s="21" t="s">
        <v>1645</v>
      </c>
      <c r="D49" s="21">
        <v>9805304296</v>
      </c>
      <c r="E49" s="21" t="s">
        <v>219</v>
      </c>
      <c r="F49" s="21" t="s">
        <v>150</v>
      </c>
      <c r="G49" s="43" t="s">
        <v>106</v>
      </c>
      <c r="H49" s="43" t="s">
        <v>83</v>
      </c>
      <c r="I49" s="43">
        <v>1</v>
      </c>
      <c r="J49" s="43">
        <v>7111</v>
      </c>
      <c r="K49" s="43">
        <v>15</v>
      </c>
      <c r="L49" s="44">
        <v>45305</v>
      </c>
      <c r="M49" s="43" t="s">
        <v>1646</v>
      </c>
      <c r="N49" s="43" t="s">
        <v>25</v>
      </c>
      <c r="O49" s="43" t="s">
        <v>53</v>
      </c>
      <c r="P49" s="43">
        <v>2</v>
      </c>
      <c r="Q49" s="45">
        <v>7111</v>
      </c>
      <c r="R49" s="45">
        <v>1066.6500000000001</v>
      </c>
      <c r="S49" s="45">
        <v>6044.35</v>
      </c>
    </row>
    <row r="50" spans="1:19" x14ac:dyDescent="0.3">
      <c r="A50" s="21">
        <v>10049</v>
      </c>
      <c r="B50" s="21" t="s">
        <v>1657</v>
      </c>
      <c r="C50" s="21" t="s">
        <v>1756</v>
      </c>
      <c r="D50" s="21" t="s">
        <v>1812</v>
      </c>
      <c r="E50" s="21" t="s">
        <v>219</v>
      </c>
      <c r="F50" s="21" t="s">
        <v>150</v>
      </c>
      <c r="G50" s="43" t="s">
        <v>231</v>
      </c>
      <c r="H50" s="43" t="s">
        <v>83</v>
      </c>
      <c r="I50" s="43">
        <v>4</v>
      </c>
      <c r="J50" s="43">
        <v>3579</v>
      </c>
      <c r="K50" s="43">
        <v>15</v>
      </c>
      <c r="L50" s="44">
        <v>45560</v>
      </c>
      <c r="M50" s="43" t="s">
        <v>69</v>
      </c>
      <c r="N50" s="43" t="s">
        <v>25</v>
      </c>
      <c r="O50" s="43" t="s">
        <v>45</v>
      </c>
      <c r="P50" s="43">
        <v>1</v>
      </c>
      <c r="Q50" s="45">
        <v>14316</v>
      </c>
      <c r="R50" s="45">
        <v>2147.4</v>
      </c>
      <c r="S50" s="45">
        <v>12168.6</v>
      </c>
    </row>
    <row r="51" spans="1:19" x14ac:dyDescent="0.3">
      <c r="A51" s="21">
        <v>10050</v>
      </c>
      <c r="B51" s="21" t="s">
        <v>621</v>
      </c>
      <c r="C51" s="21" t="s">
        <v>1728</v>
      </c>
      <c r="D51" s="21">
        <v>9332207692</v>
      </c>
      <c r="E51" s="21" t="s">
        <v>343</v>
      </c>
      <c r="F51" s="21" t="s">
        <v>50</v>
      </c>
      <c r="G51" s="43" t="s">
        <v>204</v>
      </c>
      <c r="H51" s="43" t="s">
        <v>143</v>
      </c>
      <c r="I51" s="43">
        <v>2</v>
      </c>
      <c r="J51" s="43">
        <v>477</v>
      </c>
      <c r="K51" s="43">
        <v>20</v>
      </c>
      <c r="L51" s="44">
        <v>45413</v>
      </c>
      <c r="M51" s="43" t="s">
        <v>43</v>
      </c>
      <c r="N51" s="43" t="s">
        <v>25</v>
      </c>
      <c r="O51" s="43" t="s">
        <v>71</v>
      </c>
      <c r="P51" s="43" t="s">
        <v>1813</v>
      </c>
      <c r="Q51" s="45">
        <v>954</v>
      </c>
      <c r="R51" s="45">
        <v>190.8</v>
      </c>
      <c r="S51" s="45">
        <v>763.2</v>
      </c>
    </row>
    <row r="52" spans="1:19" x14ac:dyDescent="0.3">
      <c r="A52" s="21">
        <v>10051</v>
      </c>
      <c r="B52" s="21" t="s">
        <v>661</v>
      </c>
      <c r="C52" s="21" t="s">
        <v>1735</v>
      </c>
      <c r="D52" s="21">
        <v>9880161527</v>
      </c>
      <c r="E52" s="21" t="s">
        <v>111</v>
      </c>
      <c r="F52" s="21" t="s">
        <v>111</v>
      </c>
      <c r="G52" s="43" t="s">
        <v>99</v>
      </c>
      <c r="H52" s="43" t="s">
        <v>92</v>
      </c>
      <c r="I52" s="43">
        <v>5</v>
      </c>
      <c r="J52" s="43">
        <v>4644</v>
      </c>
      <c r="K52" s="43">
        <v>0</v>
      </c>
      <c r="L52" s="44">
        <v>45482</v>
      </c>
      <c r="M52" s="43" t="s">
        <v>43</v>
      </c>
      <c r="N52" s="43" t="s">
        <v>119</v>
      </c>
      <c r="O52" s="43" t="s">
        <v>45</v>
      </c>
      <c r="P52" s="43">
        <v>4</v>
      </c>
      <c r="Q52" s="45">
        <v>23220</v>
      </c>
      <c r="R52" s="45">
        <v>0</v>
      </c>
      <c r="S52" s="45">
        <v>23220</v>
      </c>
    </row>
    <row r="53" spans="1:19" x14ac:dyDescent="0.3">
      <c r="A53" s="21">
        <v>10052</v>
      </c>
      <c r="B53" s="21" t="s">
        <v>644</v>
      </c>
      <c r="C53" s="21" t="s">
        <v>1733</v>
      </c>
      <c r="D53" s="21">
        <v>9511216452</v>
      </c>
      <c r="E53" s="21" t="s">
        <v>57</v>
      </c>
      <c r="F53" s="21" t="s">
        <v>50</v>
      </c>
      <c r="G53" s="43" t="s">
        <v>151</v>
      </c>
      <c r="H53" s="43" t="s">
        <v>143</v>
      </c>
      <c r="I53" s="43">
        <v>3</v>
      </c>
      <c r="J53" s="43">
        <v>825</v>
      </c>
      <c r="K53" s="43">
        <v>0</v>
      </c>
      <c r="L53" s="44">
        <v>45323</v>
      </c>
      <c r="M53" s="43" t="s">
        <v>1646</v>
      </c>
      <c r="N53" s="43" t="s">
        <v>25</v>
      </c>
      <c r="O53" s="43" t="s">
        <v>1641</v>
      </c>
      <c r="P53" s="43">
        <v>5</v>
      </c>
      <c r="Q53" s="45">
        <v>2475</v>
      </c>
      <c r="R53" s="45">
        <v>0</v>
      </c>
      <c r="S53" s="45">
        <v>2475</v>
      </c>
    </row>
    <row r="54" spans="1:19" x14ac:dyDescent="0.3">
      <c r="A54" s="21">
        <v>10053</v>
      </c>
      <c r="B54" s="21" t="s">
        <v>603</v>
      </c>
      <c r="C54" s="21" t="s">
        <v>1693</v>
      </c>
      <c r="D54" s="21">
        <v>9304929039</v>
      </c>
      <c r="E54" s="21" t="s">
        <v>391</v>
      </c>
      <c r="F54" s="21" t="s">
        <v>90</v>
      </c>
      <c r="G54" s="43" t="s">
        <v>179</v>
      </c>
      <c r="H54" s="43" t="s">
        <v>60</v>
      </c>
      <c r="I54" s="43">
        <v>4</v>
      </c>
      <c r="J54" s="43">
        <v>787</v>
      </c>
      <c r="K54" s="43">
        <v>20</v>
      </c>
      <c r="L54" s="44">
        <v>45489</v>
      </c>
      <c r="M54" s="43" t="s">
        <v>1646</v>
      </c>
      <c r="N54" s="43" t="s">
        <v>25</v>
      </c>
      <c r="O54" s="43" t="s">
        <v>45</v>
      </c>
      <c r="P54" s="43">
        <v>4</v>
      </c>
      <c r="Q54" s="45">
        <v>3148</v>
      </c>
      <c r="R54" s="45">
        <v>629.6</v>
      </c>
      <c r="S54" s="45">
        <v>2518.4</v>
      </c>
    </row>
    <row r="55" spans="1:19" x14ac:dyDescent="0.3">
      <c r="A55" s="21">
        <v>10054</v>
      </c>
      <c r="B55" s="21" t="s">
        <v>1697</v>
      </c>
      <c r="C55" s="21" t="s">
        <v>1698</v>
      </c>
      <c r="D55" s="21">
        <v>9500355617</v>
      </c>
      <c r="E55" s="21" t="s">
        <v>371</v>
      </c>
      <c r="F55" s="21" t="s">
        <v>98</v>
      </c>
      <c r="G55" s="43" t="s">
        <v>226</v>
      </c>
      <c r="H55" s="43" t="s">
        <v>22</v>
      </c>
      <c r="I55" s="43">
        <v>4</v>
      </c>
      <c r="J55" s="43">
        <v>948</v>
      </c>
      <c r="K55" s="43">
        <v>10</v>
      </c>
      <c r="L55" s="44">
        <v>45310</v>
      </c>
      <c r="M55" s="43" t="s">
        <v>1646</v>
      </c>
      <c r="N55" s="43" t="s">
        <v>25</v>
      </c>
      <c r="O55" s="43" t="s">
        <v>174</v>
      </c>
      <c r="P55" s="43">
        <v>3</v>
      </c>
      <c r="Q55" s="45">
        <v>3792</v>
      </c>
      <c r="R55" s="45">
        <v>379.2</v>
      </c>
      <c r="S55" s="45">
        <v>3412.8</v>
      </c>
    </row>
    <row r="56" spans="1:19" x14ac:dyDescent="0.3">
      <c r="A56" s="21">
        <v>10055</v>
      </c>
      <c r="B56" s="21" t="s">
        <v>345</v>
      </c>
      <c r="C56" s="21" t="s">
        <v>1687</v>
      </c>
      <c r="D56" s="21">
        <v>9388219584</v>
      </c>
      <c r="E56" s="21" t="s">
        <v>371</v>
      </c>
      <c r="F56" s="21" t="s">
        <v>98</v>
      </c>
      <c r="G56" s="43" t="s">
        <v>106</v>
      </c>
      <c r="H56" s="43" t="s">
        <v>83</v>
      </c>
      <c r="I56" s="43">
        <v>2</v>
      </c>
      <c r="J56" s="43">
        <v>5811</v>
      </c>
      <c r="K56" s="43">
        <v>15</v>
      </c>
      <c r="L56" s="44">
        <v>45319</v>
      </c>
      <c r="M56" s="43" t="s">
        <v>24</v>
      </c>
      <c r="N56" s="43" t="s">
        <v>25</v>
      </c>
      <c r="O56" s="43" t="s">
        <v>34</v>
      </c>
      <c r="P56" s="43" t="s">
        <v>1813</v>
      </c>
      <c r="Q56" s="45">
        <v>11622</v>
      </c>
      <c r="R56" s="45">
        <v>1743.3</v>
      </c>
      <c r="S56" s="45">
        <v>9878.7000000000007</v>
      </c>
    </row>
    <row r="57" spans="1:19" x14ac:dyDescent="0.3">
      <c r="A57" s="21">
        <v>10056</v>
      </c>
      <c r="B57" s="21" t="s">
        <v>795</v>
      </c>
      <c r="C57" s="21" t="s">
        <v>1665</v>
      </c>
      <c r="D57" s="21">
        <v>9862674005</v>
      </c>
      <c r="E57" s="21" t="s">
        <v>111</v>
      </c>
      <c r="F57" s="21" t="s">
        <v>111</v>
      </c>
      <c r="G57" s="43" t="s">
        <v>226</v>
      </c>
      <c r="H57" s="43" t="s">
        <v>22</v>
      </c>
      <c r="I57" s="43">
        <v>1</v>
      </c>
      <c r="J57" s="43">
        <v>998</v>
      </c>
      <c r="K57" s="43">
        <v>0</v>
      </c>
      <c r="L57" s="44">
        <v>45334</v>
      </c>
      <c r="M57" s="43" t="s">
        <v>1649</v>
      </c>
      <c r="N57" s="43" t="s">
        <v>25</v>
      </c>
      <c r="O57" s="43" t="s">
        <v>1641</v>
      </c>
      <c r="P57" s="43" t="s">
        <v>1813</v>
      </c>
      <c r="Q57" s="45">
        <v>998</v>
      </c>
      <c r="R57" s="45">
        <v>0</v>
      </c>
      <c r="S57" s="45">
        <v>998</v>
      </c>
    </row>
    <row r="58" spans="1:19" x14ac:dyDescent="0.3">
      <c r="A58" s="21">
        <v>10057</v>
      </c>
      <c r="B58" s="21" t="s">
        <v>1584</v>
      </c>
      <c r="C58" s="21" t="s">
        <v>1401</v>
      </c>
      <c r="D58" s="21" t="s">
        <v>1812</v>
      </c>
      <c r="E58" s="21" t="s">
        <v>57</v>
      </c>
      <c r="F58" s="21" t="s">
        <v>50</v>
      </c>
      <c r="G58" s="43" t="s">
        <v>280</v>
      </c>
      <c r="H58" s="43" t="s">
        <v>41</v>
      </c>
      <c r="I58" s="43">
        <v>1</v>
      </c>
      <c r="J58" s="43">
        <v>124</v>
      </c>
      <c r="K58" s="43">
        <v>5</v>
      </c>
      <c r="L58" s="44">
        <v>45609</v>
      </c>
      <c r="M58" s="43" t="s">
        <v>43</v>
      </c>
      <c r="N58" s="43" t="s">
        <v>25</v>
      </c>
      <c r="O58" s="43" t="s">
        <v>45</v>
      </c>
      <c r="P58" s="43">
        <v>3</v>
      </c>
      <c r="Q58" s="45">
        <v>124</v>
      </c>
      <c r="R58" s="45">
        <v>6.2</v>
      </c>
      <c r="S58" s="45">
        <v>117.8</v>
      </c>
    </row>
    <row r="59" spans="1:19" x14ac:dyDescent="0.3">
      <c r="A59" s="21">
        <v>10058</v>
      </c>
      <c r="B59" s="21" t="s">
        <v>1798</v>
      </c>
      <c r="C59" s="21" t="s">
        <v>1799</v>
      </c>
      <c r="D59" s="21">
        <v>9866096692</v>
      </c>
      <c r="E59" s="21" t="s">
        <v>38</v>
      </c>
      <c r="F59" s="21" t="s">
        <v>429</v>
      </c>
      <c r="G59" s="43" t="s">
        <v>280</v>
      </c>
      <c r="H59" s="43" t="s">
        <v>41</v>
      </c>
      <c r="I59" s="43">
        <v>3</v>
      </c>
      <c r="J59" s="43">
        <v>186</v>
      </c>
      <c r="K59" s="43">
        <v>10</v>
      </c>
      <c r="L59" s="44">
        <v>45294</v>
      </c>
      <c r="M59" s="43" t="s">
        <v>1649</v>
      </c>
      <c r="N59" s="43" t="s">
        <v>456</v>
      </c>
      <c r="O59" s="43" t="s">
        <v>71</v>
      </c>
      <c r="P59" s="43">
        <v>5</v>
      </c>
      <c r="Q59" s="45">
        <v>558</v>
      </c>
      <c r="R59" s="45">
        <v>55.8</v>
      </c>
      <c r="S59" s="45">
        <v>502.2</v>
      </c>
    </row>
    <row r="60" spans="1:19" x14ac:dyDescent="0.3">
      <c r="A60" s="21">
        <v>10059</v>
      </c>
      <c r="B60" s="21" t="s">
        <v>763</v>
      </c>
      <c r="C60" s="21" t="s">
        <v>1662</v>
      </c>
      <c r="D60" s="21">
        <v>9642240985</v>
      </c>
      <c r="E60" s="21" t="s">
        <v>74</v>
      </c>
      <c r="F60" s="21" t="s">
        <v>75</v>
      </c>
      <c r="G60" s="43" t="s">
        <v>21</v>
      </c>
      <c r="H60" s="43" t="s">
        <v>22</v>
      </c>
      <c r="I60" s="43">
        <v>2</v>
      </c>
      <c r="J60" s="43">
        <v>857</v>
      </c>
      <c r="K60" s="43">
        <v>20</v>
      </c>
      <c r="L60" s="44">
        <v>45431</v>
      </c>
      <c r="M60" s="43" t="s">
        <v>43</v>
      </c>
      <c r="N60" s="43" t="s">
        <v>456</v>
      </c>
      <c r="O60" s="43" t="s">
        <v>34</v>
      </c>
      <c r="P60" s="43">
        <v>4</v>
      </c>
      <c r="Q60" s="45">
        <v>1714</v>
      </c>
      <c r="R60" s="45">
        <v>342.8</v>
      </c>
      <c r="S60" s="45">
        <v>1371.2</v>
      </c>
    </row>
    <row r="61" spans="1:19" x14ac:dyDescent="0.3">
      <c r="A61" s="21">
        <v>10060</v>
      </c>
      <c r="B61" s="21" t="s">
        <v>233</v>
      </c>
      <c r="C61" s="21" t="s">
        <v>1751</v>
      </c>
      <c r="D61" s="21">
        <v>9375622648</v>
      </c>
      <c r="E61" s="21" t="s">
        <v>38</v>
      </c>
      <c r="F61" s="21" t="s">
        <v>429</v>
      </c>
      <c r="G61" s="43" t="s">
        <v>179</v>
      </c>
      <c r="H61" s="43" t="s">
        <v>60</v>
      </c>
      <c r="I61" s="43">
        <v>5</v>
      </c>
      <c r="J61" s="43">
        <v>677</v>
      </c>
      <c r="K61" s="43">
        <v>0</v>
      </c>
      <c r="L61" s="44">
        <v>45351</v>
      </c>
      <c r="M61" s="43" t="s">
        <v>24</v>
      </c>
      <c r="N61" s="43" t="s">
        <v>25</v>
      </c>
      <c r="O61" s="43" t="s">
        <v>1641</v>
      </c>
      <c r="P61" s="43">
        <v>4</v>
      </c>
      <c r="Q61" s="45">
        <v>3385</v>
      </c>
      <c r="R61" s="45">
        <v>0</v>
      </c>
      <c r="S61" s="45">
        <v>3385</v>
      </c>
    </row>
    <row r="62" spans="1:19" x14ac:dyDescent="0.3">
      <c r="A62" s="21">
        <v>10061</v>
      </c>
      <c r="B62" s="21" t="s">
        <v>238</v>
      </c>
      <c r="C62" s="21" t="s">
        <v>1671</v>
      </c>
      <c r="D62" s="21">
        <v>9622209653</v>
      </c>
      <c r="E62" s="21" t="s">
        <v>57</v>
      </c>
      <c r="F62" s="21" t="s">
        <v>50</v>
      </c>
      <c r="G62" s="43" t="s">
        <v>161</v>
      </c>
      <c r="H62" s="43" t="s">
        <v>83</v>
      </c>
      <c r="I62" s="43">
        <v>3</v>
      </c>
      <c r="J62" s="43">
        <v>18899</v>
      </c>
      <c r="K62" s="43">
        <v>0</v>
      </c>
      <c r="L62" s="44">
        <v>45502</v>
      </c>
      <c r="M62" s="43" t="s">
        <v>24</v>
      </c>
      <c r="N62" s="43" t="s">
        <v>25</v>
      </c>
      <c r="O62" s="43" t="s">
        <v>71</v>
      </c>
      <c r="P62" s="43">
        <v>5</v>
      </c>
      <c r="Q62" s="45">
        <v>56697</v>
      </c>
      <c r="R62" s="45">
        <v>0</v>
      </c>
      <c r="S62" s="45">
        <v>56697</v>
      </c>
    </row>
    <row r="63" spans="1:19" x14ac:dyDescent="0.3">
      <c r="A63" s="21">
        <v>10062</v>
      </c>
      <c r="B63" s="21" t="s">
        <v>603</v>
      </c>
      <c r="C63" s="21" t="s">
        <v>1693</v>
      </c>
      <c r="D63" s="21">
        <v>9535728903</v>
      </c>
      <c r="E63" s="21" t="s">
        <v>74</v>
      </c>
      <c r="F63" s="21" t="s">
        <v>75</v>
      </c>
      <c r="G63" s="43" t="s">
        <v>21</v>
      </c>
      <c r="H63" s="43" t="s">
        <v>22</v>
      </c>
      <c r="I63" s="43">
        <v>5</v>
      </c>
      <c r="J63" s="43">
        <v>1414</v>
      </c>
      <c r="K63" s="43">
        <v>5</v>
      </c>
      <c r="L63" s="44">
        <v>45385</v>
      </c>
      <c r="M63" s="43" t="s">
        <v>69</v>
      </c>
      <c r="N63" s="43" t="s">
        <v>25</v>
      </c>
      <c r="O63" s="43" t="s">
        <v>45</v>
      </c>
      <c r="P63" s="43">
        <v>2</v>
      </c>
      <c r="Q63" s="45">
        <v>7070</v>
      </c>
      <c r="R63" s="45">
        <v>353.5</v>
      </c>
      <c r="S63" s="45">
        <v>6716.5</v>
      </c>
    </row>
    <row r="64" spans="1:19" x14ac:dyDescent="0.3">
      <c r="A64" s="21">
        <v>10063</v>
      </c>
      <c r="B64" s="21" t="s">
        <v>1093</v>
      </c>
      <c r="C64" s="21" t="s">
        <v>1734</v>
      </c>
      <c r="D64" s="21">
        <v>9655865423</v>
      </c>
      <c r="E64" s="21" t="s">
        <v>279</v>
      </c>
      <c r="F64" s="21" t="s">
        <v>259</v>
      </c>
      <c r="G64" s="43" t="s">
        <v>368</v>
      </c>
      <c r="H64" s="43" t="s">
        <v>22</v>
      </c>
      <c r="I64" s="43">
        <v>5</v>
      </c>
      <c r="J64" s="43">
        <v>1961</v>
      </c>
      <c r="K64" s="43">
        <v>5</v>
      </c>
      <c r="L64" s="44">
        <v>45472</v>
      </c>
      <c r="M64" s="43" t="s">
        <v>1649</v>
      </c>
      <c r="N64" s="43" t="s">
        <v>25</v>
      </c>
      <c r="O64" s="43" t="s">
        <v>174</v>
      </c>
      <c r="P64" s="43">
        <v>5</v>
      </c>
      <c r="Q64" s="45">
        <v>9805</v>
      </c>
      <c r="R64" s="45">
        <v>490.25</v>
      </c>
      <c r="S64" s="45">
        <v>9314.75</v>
      </c>
    </row>
    <row r="65" spans="1:19" x14ac:dyDescent="0.3">
      <c r="A65" s="21">
        <v>10064</v>
      </c>
      <c r="B65" s="21" t="s">
        <v>807</v>
      </c>
      <c r="C65" s="21" t="s">
        <v>1753</v>
      </c>
      <c r="D65" s="21">
        <v>9531980207</v>
      </c>
      <c r="E65" s="21" t="s">
        <v>57</v>
      </c>
      <c r="F65" s="21" t="s">
        <v>50</v>
      </c>
      <c r="G65" s="43" t="s">
        <v>112</v>
      </c>
      <c r="H65" s="43" t="s">
        <v>83</v>
      </c>
      <c r="I65" s="43">
        <v>5</v>
      </c>
      <c r="J65" s="43">
        <v>20466</v>
      </c>
      <c r="K65" s="43">
        <v>0</v>
      </c>
      <c r="L65" s="44">
        <v>45339</v>
      </c>
      <c r="M65" s="43" t="s">
        <v>1649</v>
      </c>
      <c r="N65" s="43" t="s">
        <v>119</v>
      </c>
      <c r="O65" s="43" t="s">
        <v>71</v>
      </c>
      <c r="P65" s="43">
        <v>3</v>
      </c>
      <c r="Q65" s="45">
        <v>102330</v>
      </c>
      <c r="R65" s="45">
        <v>0</v>
      </c>
      <c r="S65" s="45">
        <v>102330</v>
      </c>
    </row>
    <row r="66" spans="1:19" x14ac:dyDescent="0.3">
      <c r="A66" s="21">
        <v>10065</v>
      </c>
      <c r="B66" s="21" t="s">
        <v>335</v>
      </c>
      <c r="C66" s="21" t="s">
        <v>1685</v>
      </c>
      <c r="D66" s="21">
        <v>9634209405</v>
      </c>
      <c r="E66" s="21" t="s">
        <v>197</v>
      </c>
      <c r="F66" s="21" t="s">
        <v>191</v>
      </c>
      <c r="G66" s="43" t="s">
        <v>368</v>
      </c>
      <c r="H66" s="43" t="s">
        <v>22</v>
      </c>
      <c r="I66" s="43">
        <v>4</v>
      </c>
      <c r="J66" s="43">
        <v>2090</v>
      </c>
      <c r="K66" s="43">
        <v>0</v>
      </c>
      <c r="L66" s="44">
        <v>45442</v>
      </c>
      <c r="M66" s="43" t="s">
        <v>24</v>
      </c>
      <c r="N66" s="43" t="s">
        <v>25</v>
      </c>
      <c r="O66" s="43" t="s">
        <v>53</v>
      </c>
      <c r="P66" s="43">
        <v>1</v>
      </c>
      <c r="Q66" s="45">
        <v>8360</v>
      </c>
      <c r="R66" s="45">
        <v>0</v>
      </c>
      <c r="S66" s="45">
        <v>8360</v>
      </c>
    </row>
    <row r="67" spans="1:19" x14ac:dyDescent="0.3">
      <c r="A67" s="21">
        <v>10066</v>
      </c>
      <c r="B67" s="21" t="s">
        <v>394</v>
      </c>
      <c r="C67" s="21" t="s">
        <v>1666</v>
      </c>
      <c r="D67" s="21">
        <v>9586047470</v>
      </c>
      <c r="E67" s="21" t="s">
        <v>111</v>
      </c>
      <c r="F67" s="21" t="s">
        <v>111</v>
      </c>
      <c r="G67" s="43" t="s">
        <v>112</v>
      </c>
      <c r="H67" s="43" t="s">
        <v>83</v>
      </c>
      <c r="I67" s="43">
        <v>5</v>
      </c>
      <c r="J67" s="43">
        <v>29687</v>
      </c>
      <c r="K67" s="43">
        <v>15</v>
      </c>
      <c r="L67" s="44">
        <v>45462</v>
      </c>
      <c r="M67" s="43" t="s">
        <v>1646</v>
      </c>
      <c r="N67" s="43" t="s">
        <v>25</v>
      </c>
      <c r="O67" s="43" t="s">
        <v>45</v>
      </c>
      <c r="P67" s="43" t="s">
        <v>1813</v>
      </c>
      <c r="Q67" s="45">
        <v>148435</v>
      </c>
      <c r="R67" s="45">
        <v>22265.25</v>
      </c>
      <c r="S67" s="45">
        <v>126169.75</v>
      </c>
    </row>
    <row r="68" spans="1:19" x14ac:dyDescent="0.3">
      <c r="A68" s="21">
        <v>10067</v>
      </c>
      <c r="B68" s="21" t="s">
        <v>394</v>
      </c>
      <c r="C68" s="21" t="s">
        <v>1666</v>
      </c>
      <c r="D68" s="21" t="s">
        <v>1812</v>
      </c>
      <c r="E68" s="21" t="s">
        <v>197</v>
      </c>
      <c r="F68" s="21" t="s">
        <v>191</v>
      </c>
      <c r="G68" s="43" t="s">
        <v>99</v>
      </c>
      <c r="H68" s="43" t="s">
        <v>92</v>
      </c>
      <c r="I68" s="43">
        <v>2</v>
      </c>
      <c r="J68" s="43">
        <v>4151</v>
      </c>
      <c r="K68" s="43">
        <v>0</v>
      </c>
      <c r="L68" s="44">
        <v>45475</v>
      </c>
      <c r="M68" s="43" t="s">
        <v>1649</v>
      </c>
      <c r="N68" s="43" t="s">
        <v>119</v>
      </c>
      <c r="O68" s="43" t="s">
        <v>174</v>
      </c>
      <c r="P68" s="43">
        <v>3</v>
      </c>
      <c r="Q68" s="45">
        <v>8302</v>
      </c>
      <c r="R68" s="45">
        <v>0</v>
      </c>
      <c r="S68" s="45">
        <v>8302</v>
      </c>
    </row>
    <row r="69" spans="1:19" x14ac:dyDescent="0.3">
      <c r="A69" s="21">
        <v>10068</v>
      </c>
      <c r="B69" s="21" t="s">
        <v>1072</v>
      </c>
      <c r="C69" s="21" t="s">
        <v>1712</v>
      </c>
      <c r="D69" s="21">
        <v>9908750500</v>
      </c>
      <c r="E69" s="21" t="s">
        <v>279</v>
      </c>
      <c r="F69" s="21" t="s">
        <v>259</v>
      </c>
      <c r="G69" s="43" t="s">
        <v>226</v>
      </c>
      <c r="H69" s="43" t="s">
        <v>22</v>
      </c>
      <c r="I69" s="43">
        <v>4</v>
      </c>
      <c r="J69" s="43">
        <v>1207</v>
      </c>
      <c r="K69" s="43">
        <v>0</v>
      </c>
      <c r="L69" s="44">
        <v>45384</v>
      </c>
      <c r="M69" s="43" t="s">
        <v>24</v>
      </c>
      <c r="N69" s="43" t="s">
        <v>456</v>
      </c>
      <c r="O69" s="43" t="s">
        <v>53</v>
      </c>
      <c r="P69" s="43">
        <v>1</v>
      </c>
      <c r="Q69" s="45">
        <v>4828</v>
      </c>
      <c r="R69" s="45">
        <v>0</v>
      </c>
      <c r="S69" s="45">
        <v>4828</v>
      </c>
    </row>
    <row r="70" spans="1:19" x14ac:dyDescent="0.3">
      <c r="A70" s="21">
        <v>10069</v>
      </c>
      <c r="B70" s="21" t="s">
        <v>651</v>
      </c>
      <c r="C70" s="21" t="s">
        <v>1683</v>
      </c>
      <c r="D70" s="21">
        <v>9852211317</v>
      </c>
      <c r="E70" s="21" t="s">
        <v>279</v>
      </c>
      <c r="F70" s="21" t="s">
        <v>259</v>
      </c>
      <c r="G70" s="43" t="s">
        <v>231</v>
      </c>
      <c r="H70" s="43" t="s">
        <v>83</v>
      </c>
      <c r="I70" s="43">
        <v>3</v>
      </c>
      <c r="J70" s="43">
        <v>4442</v>
      </c>
      <c r="K70" s="43">
        <v>10</v>
      </c>
      <c r="L70" s="44">
        <v>45512</v>
      </c>
      <c r="M70" s="43" t="s">
        <v>24</v>
      </c>
      <c r="N70" s="43" t="s">
        <v>25</v>
      </c>
      <c r="O70" s="43" t="s">
        <v>45</v>
      </c>
      <c r="P70" s="43">
        <v>2</v>
      </c>
      <c r="Q70" s="45">
        <v>13326</v>
      </c>
      <c r="R70" s="45">
        <v>1332.6</v>
      </c>
      <c r="S70" s="45">
        <v>11993.4</v>
      </c>
    </row>
    <row r="71" spans="1:19" x14ac:dyDescent="0.3">
      <c r="A71" s="21">
        <v>10070</v>
      </c>
      <c r="B71" s="21" t="s">
        <v>878</v>
      </c>
      <c r="C71" s="21" t="s">
        <v>1762</v>
      </c>
      <c r="D71" s="21">
        <v>9371653432</v>
      </c>
      <c r="E71" s="21" t="s">
        <v>343</v>
      </c>
      <c r="F71" s="21" t="s">
        <v>50</v>
      </c>
      <c r="G71" s="43" t="s">
        <v>161</v>
      </c>
      <c r="H71" s="43" t="s">
        <v>83</v>
      </c>
      <c r="I71" s="43">
        <v>5</v>
      </c>
      <c r="J71" s="43">
        <v>24487</v>
      </c>
      <c r="K71" s="43">
        <v>15</v>
      </c>
      <c r="L71" s="44">
        <v>45479</v>
      </c>
      <c r="M71" s="43" t="s">
        <v>69</v>
      </c>
      <c r="N71" s="43" t="s">
        <v>25</v>
      </c>
      <c r="O71" s="43" t="s">
        <v>71</v>
      </c>
      <c r="P71" s="43">
        <v>1</v>
      </c>
      <c r="Q71" s="45">
        <v>122435</v>
      </c>
      <c r="R71" s="45">
        <v>18365.25</v>
      </c>
      <c r="S71" s="45">
        <v>104069.75</v>
      </c>
    </row>
    <row r="72" spans="1:19" x14ac:dyDescent="0.3">
      <c r="A72" s="21">
        <v>10071</v>
      </c>
      <c r="B72" s="21" t="s">
        <v>940</v>
      </c>
      <c r="C72" s="21" t="s">
        <v>1724</v>
      </c>
      <c r="D72" s="21">
        <v>9594229486</v>
      </c>
      <c r="E72" s="21" t="s">
        <v>172</v>
      </c>
      <c r="F72" s="21" t="s">
        <v>150</v>
      </c>
      <c r="G72" s="43" t="s">
        <v>231</v>
      </c>
      <c r="H72" s="43" t="s">
        <v>83</v>
      </c>
      <c r="I72" s="43">
        <v>4</v>
      </c>
      <c r="J72" s="43">
        <v>2229</v>
      </c>
      <c r="K72" s="43">
        <v>0</v>
      </c>
      <c r="L72" s="44">
        <v>45444</v>
      </c>
      <c r="M72" s="43" t="s">
        <v>69</v>
      </c>
      <c r="N72" s="43" t="s">
        <v>25</v>
      </c>
      <c r="O72" s="43" t="s">
        <v>71</v>
      </c>
      <c r="P72" s="43">
        <v>5</v>
      </c>
      <c r="Q72" s="45">
        <v>8916</v>
      </c>
      <c r="R72" s="45">
        <v>0</v>
      </c>
      <c r="S72" s="45">
        <v>8916</v>
      </c>
    </row>
    <row r="73" spans="1:19" x14ac:dyDescent="0.3">
      <c r="A73" s="21">
        <v>10072</v>
      </c>
      <c r="B73" s="21" t="s">
        <v>255</v>
      </c>
      <c r="C73" s="21" t="s">
        <v>1674</v>
      </c>
      <c r="D73" s="21" t="s">
        <v>1812</v>
      </c>
      <c r="E73" s="21" t="s">
        <v>111</v>
      </c>
      <c r="F73" s="21" t="s">
        <v>111</v>
      </c>
      <c r="G73" s="43" t="s">
        <v>411</v>
      </c>
      <c r="H73" s="43" t="s">
        <v>83</v>
      </c>
      <c r="I73" s="43">
        <v>5</v>
      </c>
      <c r="J73" s="43">
        <v>50234</v>
      </c>
      <c r="K73" s="43">
        <v>15</v>
      </c>
      <c r="L73" s="44">
        <v>45325</v>
      </c>
      <c r="M73" s="43" t="s">
        <v>1649</v>
      </c>
      <c r="N73" s="43" t="s">
        <v>25</v>
      </c>
      <c r="O73" s="43" t="s">
        <v>34</v>
      </c>
      <c r="P73" s="43">
        <v>4</v>
      </c>
      <c r="Q73" s="45">
        <v>251170</v>
      </c>
      <c r="R73" s="45">
        <v>37675.5</v>
      </c>
      <c r="S73" s="45">
        <v>213494.5</v>
      </c>
    </row>
    <row r="74" spans="1:19" x14ac:dyDescent="0.3">
      <c r="A74" s="21">
        <v>10073</v>
      </c>
      <c r="B74" s="21" t="s">
        <v>598</v>
      </c>
      <c r="C74" s="21" t="s">
        <v>1725</v>
      </c>
      <c r="D74" s="21">
        <v>9145463415</v>
      </c>
      <c r="E74" s="21" t="s">
        <v>371</v>
      </c>
      <c r="F74" s="21" t="s">
        <v>98</v>
      </c>
      <c r="G74" s="43" t="s">
        <v>106</v>
      </c>
      <c r="H74" s="43" t="s">
        <v>83</v>
      </c>
      <c r="I74" s="43">
        <v>4</v>
      </c>
      <c r="J74" s="43">
        <v>13269</v>
      </c>
      <c r="K74" s="43">
        <v>5</v>
      </c>
      <c r="L74" s="44">
        <v>45523</v>
      </c>
      <c r="M74" s="43" t="s">
        <v>43</v>
      </c>
      <c r="N74" s="43" t="s">
        <v>25</v>
      </c>
      <c r="O74" s="43" t="s">
        <v>53</v>
      </c>
      <c r="P74" s="43">
        <v>1</v>
      </c>
      <c r="Q74" s="45">
        <v>53076</v>
      </c>
      <c r="R74" s="45">
        <v>2653.8</v>
      </c>
      <c r="S74" s="45">
        <v>50422.2</v>
      </c>
    </row>
    <row r="75" spans="1:19" x14ac:dyDescent="0.3">
      <c r="A75" s="21">
        <v>10074</v>
      </c>
      <c r="B75" s="21" t="s">
        <v>800</v>
      </c>
      <c r="C75" s="21" t="s">
        <v>1726</v>
      </c>
      <c r="D75" s="21">
        <v>9676465630</v>
      </c>
      <c r="E75" s="21" t="s">
        <v>371</v>
      </c>
      <c r="F75" s="21" t="s">
        <v>98</v>
      </c>
      <c r="G75" s="43" t="s">
        <v>411</v>
      </c>
      <c r="H75" s="43" t="s">
        <v>83</v>
      </c>
      <c r="I75" s="43">
        <v>5</v>
      </c>
      <c r="J75" s="43">
        <v>48728</v>
      </c>
      <c r="K75" s="43">
        <v>0</v>
      </c>
      <c r="L75" s="44">
        <v>45486</v>
      </c>
      <c r="M75" s="43" t="s">
        <v>69</v>
      </c>
      <c r="N75" s="43" t="s">
        <v>25</v>
      </c>
      <c r="O75" s="43" t="s">
        <v>71</v>
      </c>
      <c r="P75" s="43" t="s">
        <v>1813</v>
      </c>
      <c r="Q75" s="45">
        <v>243640</v>
      </c>
      <c r="R75" s="45">
        <v>0</v>
      </c>
      <c r="S75" s="45">
        <v>243640</v>
      </c>
    </row>
    <row r="76" spans="1:19" x14ac:dyDescent="0.3">
      <c r="A76" s="21">
        <v>10075</v>
      </c>
      <c r="B76" s="21" t="s">
        <v>722</v>
      </c>
      <c r="C76" s="21" t="s">
        <v>1704</v>
      </c>
      <c r="D76" s="21">
        <v>9822628547</v>
      </c>
      <c r="E76" s="21" t="s">
        <v>74</v>
      </c>
      <c r="F76" s="21" t="s">
        <v>75</v>
      </c>
      <c r="G76" s="43" t="s">
        <v>99</v>
      </c>
      <c r="H76" s="43" t="s">
        <v>92</v>
      </c>
      <c r="I76" s="43">
        <v>3</v>
      </c>
      <c r="J76" s="43">
        <v>2459</v>
      </c>
      <c r="K76" s="43">
        <v>0</v>
      </c>
      <c r="L76" s="44">
        <v>45561</v>
      </c>
      <c r="M76" s="43" t="s">
        <v>43</v>
      </c>
      <c r="N76" s="43" t="s">
        <v>25</v>
      </c>
      <c r="O76" s="43" t="s">
        <v>34</v>
      </c>
      <c r="P76" s="43">
        <v>1</v>
      </c>
      <c r="Q76" s="45">
        <v>7377</v>
      </c>
      <c r="R76" s="45">
        <v>0</v>
      </c>
      <c r="S76" s="45">
        <v>7377</v>
      </c>
    </row>
    <row r="77" spans="1:19" x14ac:dyDescent="0.3">
      <c r="A77" s="21">
        <v>10076</v>
      </c>
      <c r="B77" s="21" t="s">
        <v>35</v>
      </c>
      <c r="C77" s="21" t="s">
        <v>1645</v>
      </c>
      <c r="D77" s="21">
        <v>9684361241</v>
      </c>
      <c r="E77" s="21" t="s">
        <v>371</v>
      </c>
      <c r="F77" s="21" t="s">
        <v>98</v>
      </c>
      <c r="G77" s="43" t="s">
        <v>204</v>
      </c>
      <c r="H77" s="43" t="s">
        <v>143</v>
      </c>
      <c r="I77" s="43">
        <v>4</v>
      </c>
      <c r="J77" s="43">
        <v>595</v>
      </c>
      <c r="K77" s="43">
        <v>0</v>
      </c>
      <c r="L77" s="44">
        <v>45402</v>
      </c>
      <c r="M77" s="43" t="s">
        <v>43</v>
      </c>
      <c r="N77" s="43" t="s">
        <v>25</v>
      </c>
      <c r="O77" s="43" t="s">
        <v>45</v>
      </c>
      <c r="P77" s="43" t="s">
        <v>1813</v>
      </c>
      <c r="Q77" s="45">
        <v>2380</v>
      </c>
      <c r="R77" s="45">
        <v>0</v>
      </c>
      <c r="S77" s="45">
        <v>2380</v>
      </c>
    </row>
    <row r="78" spans="1:19" x14ac:dyDescent="0.3">
      <c r="A78" s="21">
        <v>10077</v>
      </c>
      <c r="B78" s="21" t="s">
        <v>300</v>
      </c>
      <c r="C78" s="21" t="s">
        <v>1679</v>
      </c>
      <c r="D78" s="21">
        <v>9316275430</v>
      </c>
      <c r="E78" s="21" t="s">
        <v>111</v>
      </c>
      <c r="F78" s="21" t="s">
        <v>111</v>
      </c>
      <c r="G78" s="43" t="s">
        <v>179</v>
      </c>
      <c r="H78" s="43" t="s">
        <v>60</v>
      </c>
      <c r="I78" s="43">
        <v>5</v>
      </c>
      <c r="J78" s="43">
        <v>721</v>
      </c>
      <c r="K78" s="43">
        <v>20</v>
      </c>
      <c r="L78" s="44">
        <v>45460</v>
      </c>
      <c r="M78" s="43" t="s">
        <v>1649</v>
      </c>
      <c r="N78" s="43" t="s">
        <v>25</v>
      </c>
      <c r="O78" s="43" t="s">
        <v>34</v>
      </c>
      <c r="P78" s="43" t="s">
        <v>1813</v>
      </c>
      <c r="Q78" s="45">
        <v>3605</v>
      </c>
      <c r="R78" s="45">
        <v>721</v>
      </c>
      <c r="S78" s="45">
        <v>2884</v>
      </c>
    </row>
    <row r="79" spans="1:19" x14ac:dyDescent="0.3">
      <c r="A79" s="21">
        <v>10078</v>
      </c>
      <c r="B79" s="21" t="s">
        <v>244</v>
      </c>
      <c r="C79" s="21" t="s">
        <v>1672</v>
      </c>
      <c r="D79" s="21">
        <v>9144471883</v>
      </c>
      <c r="E79" s="21" t="s">
        <v>279</v>
      </c>
      <c r="F79" s="21" t="s">
        <v>259</v>
      </c>
      <c r="G79" s="43" t="s">
        <v>280</v>
      </c>
      <c r="H79" s="43" t="s">
        <v>41</v>
      </c>
      <c r="I79" s="43">
        <v>2</v>
      </c>
      <c r="J79" s="43">
        <v>135</v>
      </c>
      <c r="K79" s="43">
        <v>20</v>
      </c>
      <c r="L79" s="44">
        <v>45450</v>
      </c>
      <c r="M79" s="43" t="s">
        <v>1646</v>
      </c>
      <c r="N79" s="43" t="s">
        <v>25</v>
      </c>
      <c r="O79" s="43" t="s">
        <v>71</v>
      </c>
      <c r="P79" s="43" t="s">
        <v>1813</v>
      </c>
      <c r="Q79" s="45">
        <v>270</v>
      </c>
      <c r="R79" s="45">
        <v>54</v>
      </c>
      <c r="S79" s="45">
        <v>216</v>
      </c>
    </row>
    <row r="80" spans="1:19" x14ac:dyDescent="0.3">
      <c r="A80" s="21">
        <v>10079</v>
      </c>
      <c r="B80" s="21" t="s">
        <v>923</v>
      </c>
      <c r="C80" s="21" t="s">
        <v>1768</v>
      </c>
      <c r="D80" s="21">
        <v>9170659454</v>
      </c>
      <c r="E80" s="21" t="s">
        <v>38</v>
      </c>
      <c r="F80" s="21" t="s">
        <v>429</v>
      </c>
      <c r="G80" s="43" t="s">
        <v>368</v>
      </c>
      <c r="H80" s="43" t="s">
        <v>22</v>
      </c>
      <c r="I80" s="43">
        <v>3</v>
      </c>
      <c r="J80" s="43">
        <v>2305</v>
      </c>
      <c r="K80" s="43">
        <v>15</v>
      </c>
      <c r="L80" s="44">
        <v>45480</v>
      </c>
      <c r="M80" s="43" t="s">
        <v>1646</v>
      </c>
      <c r="N80" s="43" t="s">
        <v>119</v>
      </c>
      <c r="O80" s="43" t="s">
        <v>34</v>
      </c>
      <c r="P80" s="43">
        <v>4</v>
      </c>
      <c r="Q80" s="45">
        <v>6915</v>
      </c>
      <c r="R80" s="45">
        <v>1037.25</v>
      </c>
      <c r="S80" s="45">
        <v>5877.75</v>
      </c>
    </row>
    <row r="81" spans="1:19" x14ac:dyDescent="0.3">
      <c r="A81" s="21">
        <v>10080</v>
      </c>
      <c r="B81" s="21" t="s">
        <v>1093</v>
      </c>
      <c r="C81" s="21" t="s">
        <v>655</v>
      </c>
      <c r="D81" s="21">
        <v>9612910599</v>
      </c>
      <c r="E81" s="21" t="s">
        <v>111</v>
      </c>
      <c r="F81" s="21" t="s">
        <v>111</v>
      </c>
      <c r="G81" s="43" t="s">
        <v>179</v>
      </c>
      <c r="H81" s="43" t="s">
        <v>60</v>
      </c>
      <c r="I81" s="43">
        <v>4</v>
      </c>
      <c r="J81" s="43">
        <v>328</v>
      </c>
      <c r="K81" s="43">
        <v>20</v>
      </c>
      <c r="L81" s="44">
        <v>45395</v>
      </c>
      <c r="M81" s="43" t="s">
        <v>69</v>
      </c>
      <c r="N81" s="43" t="s">
        <v>25</v>
      </c>
      <c r="O81" s="43" t="s">
        <v>45</v>
      </c>
      <c r="P81" s="43">
        <v>5</v>
      </c>
      <c r="Q81" s="45">
        <v>1312</v>
      </c>
      <c r="R81" s="45">
        <v>262.39999999999998</v>
      </c>
      <c r="S81" s="45">
        <v>1049.5999999999999</v>
      </c>
    </row>
    <row r="82" spans="1:19" x14ac:dyDescent="0.3">
      <c r="A82" s="21">
        <v>10081</v>
      </c>
      <c r="B82" s="21" t="s">
        <v>906</v>
      </c>
      <c r="C82" s="21" t="s">
        <v>1765</v>
      </c>
      <c r="D82" s="21">
        <v>9935833886</v>
      </c>
      <c r="E82" s="21" t="s">
        <v>219</v>
      </c>
      <c r="F82" s="21" t="s">
        <v>150</v>
      </c>
      <c r="G82" s="43" t="s">
        <v>99</v>
      </c>
      <c r="H82" s="43" t="s">
        <v>92</v>
      </c>
      <c r="I82" s="43">
        <v>4</v>
      </c>
      <c r="J82" s="43">
        <v>4848</v>
      </c>
      <c r="K82" s="43">
        <v>5</v>
      </c>
      <c r="L82" s="44">
        <v>45430</v>
      </c>
      <c r="M82" s="43" t="s">
        <v>1649</v>
      </c>
      <c r="N82" s="43" t="s">
        <v>25</v>
      </c>
      <c r="O82" s="43" t="s">
        <v>34</v>
      </c>
      <c r="P82" s="43" t="s">
        <v>1813</v>
      </c>
      <c r="Q82" s="45">
        <v>19392</v>
      </c>
      <c r="R82" s="45">
        <v>969.6</v>
      </c>
      <c r="S82" s="45">
        <v>18422.400000000001</v>
      </c>
    </row>
    <row r="83" spans="1:19" x14ac:dyDescent="0.3">
      <c r="A83" s="21">
        <v>10082</v>
      </c>
      <c r="B83" s="21" t="s">
        <v>1676</v>
      </c>
      <c r="C83" s="21" t="s">
        <v>1773</v>
      </c>
      <c r="D83" s="21">
        <v>9763230761</v>
      </c>
      <c r="E83" s="21" t="s">
        <v>172</v>
      </c>
      <c r="F83" s="21" t="s">
        <v>150</v>
      </c>
      <c r="G83" s="43" t="s">
        <v>231</v>
      </c>
      <c r="H83" s="43" t="s">
        <v>83</v>
      </c>
      <c r="I83" s="43">
        <v>5</v>
      </c>
      <c r="J83" s="43">
        <v>3630</v>
      </c>
      <c r="K83" s="43">
        <v>10</v>
      </c>
      <c r="L83" s="44">
        <v>45301</v>
      </c>
      <c r="M83" s="43" t="s">
        <v>1649</v>
      </c>
      <c r="N83" s="43" t="s">
        <v>25</v>
      </c>
      <c r="O83" s="43" t="s">
        <v>45</v>
      </c>
      <c r="P83" s="43">
        <v>2</v>
      </c>
      <c r="Q83" s="45">
        <v>18150</v>
      </c>
      <c r="R83" s="45">
        <v>1815</v>
      </c>
      <c r="S83" s="45">
        <v>16335</v>
      </c>
    </row>
    <row r="84" spans="1:19" x14ac:dyDescent="0.3">
      <c r="A84" s="21">
        <v>10083</v>
      </c>
      <c r="B84" s="21" t="s">
        <v>314</v>
      </c>
      <c r="C84" s="21" t="s">
        <v>1682</v>
      </c>
      <c r="D84" s="21">
        <v>9842731097</v>
      </c>
      <c r="E84" s="21" t="s">
        <v>371</v>
      </c>
      <c r="F84" s="21" t="s">
        <v>98</v>
      </c>
      <c r="G84" s="43" t="s">
        <v>231</v>
      </c>
      <c r="H84" s="43" t="s">
        <v>83</v>
      </c>
      <c r="I84" s="43">
        <v>4</v>
      </c>
      <c r="J84" s="43">
        <v>3863</v>
      </c>
      <c r="K84" s="43">
        <v>0</v>
      </c>
      <c r="L84" s="44">
        <v>45554</v>
      </c>
      <c r="M84" s="43" t="s">
        <v>69</v>
      </c>
      <c r="N84" s="43" t="s">
        <v>25</v>
      </c>
      <c r="O84" s="43" t="s">
        <v>174</v>
      </c>
      <c r="P84" s="43">
        <v>5</v>
      </c>
      <c r="Q84" s="45">
        <v>15452</v>
      </c>
      <c r="R84" s="45">
        <v>0</v>
      </c>
      <c r="S84" s="45">
        <v>15452</v>
      </c>
    </row>
    <row r="85" spans="1:19" x14ac:dyDescent="0.3">
      <c r="A85" s="21">
        <v>10084</v>
      </c>
      <c r="B85" s="21" t="s">
        <v>538</v>
      </c>
      <c r="C85" s="21" t="s">
        <v>1699</v>
      </c>
      <c r="D85" s="21" t="s">
        <v>1812</v>
      </c>
      <c r="E85" s="21" t="s">
        <v>279</v>
      </c>
      <c r="F85" s="21" t="s">
        <v>259</v>
      </c>
      <c r="G85" s="43" t="s">
        <v>106</v>
      </c>
      <c r="H85" s="43" t="s">
        <v>83</v>
      </c>
      <c r="I85" s="43">
        <v>4</v>
      </c>
      <c r="J85" s="43">
        <v>6749</v>
      </c>
      <c r="K85" s="43">
        <v>10</v>
      </c>
      <c r="L85" s="44">
        <v>45302</v>
      </c>
      <c r="M85" s="43" t="s">
        <v>24</v>
      </c>
      <c r="N85" s="43" t="s">
        <v>25</v>
      </c>
      <c r="O85" s="43" t="s">
        <v>34</v>
      </c>
      <c r="P85" s="43" t="s">
        <v>1813</v>
      </c>
      <c r="Q85" s="45">
        <v>26996</v>
      </c>
      <c r="R85" s="45">
        <v>2699.6</v>
      </c>
      <c r="S85" s="45">
        <v>24296.400000000001</v>
      </c>
    </row>
    <row r="86" spans="1:19" x14ac:dyDescent="0.3">
      <c r="A86" s="21">
        <v>10085</v>
      </c>
      <c r="B86" s="21" t="s">
        <v>849</v>
      </c>
      <c r="C86" s="21" t="s">
        <v>1727</v>
      </c>
      <c r="D86" s="21" t="s">
        <v>1812</v>
      </c>
      <c r="E86" s="21" t="s">
        <v>57</v>
      </c>
      <c r="F86" s="21" t="s">
        <v>50</v>
      </c>
      <c r="G86" s="43" t="s">
        <v>99</v>
      </c>
      <c r="H86" s="43" t="s">
        <v>92</v>
      </c>
      <c r="I86" s="43">
        <v>2</v>
      </c>
      <c r="J86" s="43">
        <v>4115</v>
      </c>
      <c r="K86" s="43">
        <v>20</v>
      </c>
      <c r="L86" s="44">
        <v>45346</v>
      </c>
      <c r="M86" s="43" t="s">
        <v>43</v>
      </c>
      <c r="N86" s="43" t="s">
        <v>25</v>
      </c>
      <c r="O86" s="43" t="s">
        <v>53</v>
      </c>
      <c r="P86" s="43">
        <v>3</v>
      </c>
      <c r="Q86" s="45">
        <v>8230</v>
      </c>
      <c r="R86" s="45">
        <v>1646</v>
      </c>
      <c r="S86" s="45">
        <v>6584</v>
      </c>
    </row>
    <row r="87" spans="1:19" x14ac:dyDescent="0.3">
      <c r="A87" s="21">
        <v>10086</v>
      </c>
      <c r="B87" s="21" t="s">
        <v>1167</v>
      </c>
      <c r="C87" s="21" t="s">
        <v>1675</v>
      </c>
      <c r="D87" s="21">
        <v>9827600341</v>
      </c>
      <c r="E87" s="21" t="s">
        <v>57</v>
      </c>
      <c r="F87" s="21" t="s">
        <v>50</v>
      </c>
      <c r="G87" s="43" t="s">
        <v>411</v>
      </c>
      <c r="H87" s="43" t="s">
        <v>83</v>
      </c>
      <c r="I87" s="43">
        <v>5</v>
      </c>
      <c r="J87" s="43">
        <v>46377</v>
      </c>
      <c r="K87" s="43">
        <v>0</v>
      </c>
      <c r="L87" s="44">
        <v>45502</v>
      </c>
      <c r="M87" s="43" t="s">
        <v>1646</v>
      </c>
      <c r="N87" s="43" t="s">
        <v>25</v>
      </c>
      <c r="O87" s="43" t="s">
        <v>53</v>
      </c>
      <c r="P87" s="43">
        <v>3</v>
      </c>
      <c r="Q87" s="45">
        <v>231885</v>
      </c>
      <c r="R87" s="45">
        <v>0</v>
      </c>
      <c r="S87" s="45">
        <v>231885</v>
      </c>
    </row>
    <row r="88" spans="1:19" x14ac:dyDescent="0.3">
      <c r="A88" s="21">
        <v>10087</v>
      </c>
      <c r="B88" s="21" t="s">
        <v>187</v>
      </c>
      <c r="C88" s="21" t="s">
        <v>1663</v>
      </c>
      <c r="D88" s="21" t="s">
        <v>1812</v>
      </c>
      <c r="E88" s="21" t="s">
        <v>343</v>
      </c>
      <c r="F88" s="21" t="s">
        <v>50</v>
      </c>
      <c r="G88" s="43" t="s">
        <v>204</v>
      </c>
      <c r="H88" s="43" t="s">
        <v>143</v>
      </c>
      <c r="I88" s="43">
        <v>1</v>
      </c>
      <c r="J88" s="43">
        <v>266</v>
      </c>
      <c r="K88" s="43">
        <v>5</v>
      </c>
      <c r="L88" s="44">
        <v>45548</v>
      </c>
      <c r="M88" s="43" t="s">
        <v>69</v>
      </c>
      <c r="N88" s="43" t="s">
        <v>25</v>
      </c>
      <c r="O88" s="43" t="s">
        <v>34</v>
      </c>
      <c r="P88" s="43">
        <v>3</v>
      </c>
      <c r="Q88" s="45">
        <v>266</v>
      </c>
      <c r="R88" s="45">
        <v>13.3</v>
      </c>
      <c r="S88" s="45">
        <v>252.7</v>
      </c>
    </row>
    <row r="89" spans="1:19" x14ac:dyDescent="0.3">
      <c r="A89" s="21">
        <v>10088</v>
      </c>
      <c r="B89" s="21" t="s">
        <v>72</v>
      </c>
      <c r="C89" s="21" t="s">
        <v>1711</v>
      </c>
      <c r="D89" s="21">
        <v>9533569522</v>
      </c>
      <c r="E89" s="21" t="s">
        <v>111</v>
      </c>
      <c r="F89" s="21" t="s">
        <v>111</v>
      </c>
      <c r="G89" s="43" t="s">
        <v>368</v>
      </c>
      <c r="H89" s="43" t="s">
        <v>22</v>
      </c>
      <c r="I89" s="43">
        <v>2</v>
      </c>
      <c r="J89" s="43">
        <v>2407</v>
      </c>
      <c r="K89" s="43">
        <v>0</v>
      </c>
      <c r="L89" s="44">
        <v>45652</v>
      </c>
      <c r="M89" s="43" t="s">
        <v>43</v>
      </c>
      <c r="N89" s="43" t="s">
        <v>25</v>
      </c>
      <c r="O89" s="43" t="s">
        <v>174</v>
      </c>
      <c r="P89" s="43">
        <v>5</v>
      </c>
      <c r="Q89" s="45">
        <v>4814</v>
      </c>
      <c r="R89" s="45">
        <v>0</v>
      </c>
      <c r="S89" s="45">
        <v>4814</v>
      </c>
    </row>
    <row r="90" spans="1:19" x14ac:dyDescent="0.3">
      <c r="A90" s="21">
        <v>10089</v>
      </c>
      <c r="B90" s="21" t="s">
        <v>95</v>
      </c>
      <c r="C90" s="21" t="s">
        <v>1648</v>
      </c>
      <c r="D90" s="21">
        <v>9924715291</v>
      </c>
      <c r="E90" s="21" t="s">
        <v>391</v>
      </c>
      <c r="F90" s="21" t="s">
        <v>90</v>
      </c>
      <c r="G90" s="43" t="s">
        <v>204</v>
      </c>
      <c r="H90" s="43" t="s">
        <v>143</v>
      </c>
      <c r="I90" s="43">
        <v>2</v>
      </c>
      <c r="J90" s="43">
        <v>418</v>
      </c>
      <c r="K90" s="43">
        <v>20</v>
      </c>
      <c r="L90" s="44">
        <v>45459</v>
      </c>
      <c r="M90" s="43" t="s">
        <v>69</v>
      </c>
      <c r="N90" s="43" t="s">
        <v>25</v>
      </c>
      <c r="O90" s="43" t="s">
        <v>34</v>
      </c>
      <c r="P90" s="43">
        <v>2</v>
      </c>
      <c r="Q90" s="45">
        <v>836</v>
      </c>
      <c r="R90" s="45">
        <v>167.2</v>
      </c>
      <c r="S90" s="45">
        <v>668.8</v>
      </c>
    </row>
    <row r="91" spans="1:19" x14ac:dyDescent="0.3">
      <c r="A91" s="21">
        <v>10090</v>
      </c>
      <c r="B91" s="21" t="s">
        <v>896</v>
      </c>
      <c r="C91" s="21" t="s">
        <v>1763</v>
      </c>
      <c r="D91" s="21" t="s">
        <v>1812</v>
      </c>
      <c r="E91" s="21" t="s">
        <v>74</v>
      </c>
      <c r="F91" s="21" t="s">
        <v>75</v>
      </c>
      <c r="G91" s="43" t="s">
        <v>368</v>
      </c>
      <c r="H91" s="43" t="s">
        <v>22</v>
      </c>
      <c r="I91" s="43">
        <v>1</v>
      </c>
      <c r="J91" s="43">
        <v>1035</v>
      </c>
      <c r="K91" s="43">
        <v>0</v>
      </c>
      <c r="L91" s="44">
        <v>45648</v>
      </c>
      <c r="M91" s="43" t="s">
        <v>24</v>
      </c>
      <c r="N91" s="43" t="s">
        <v>25</v>
      </c>
      <c r="O91" s="43" t="s">
        <v>53</v>
      </c>
      <c r="P91" s="43">
        <v>1</v>
      </c>
      <c r="Q91" s="45">
        <v>1035</v>
      </c>
      <c r="R91" s="45">
        <v>0</v>
      </c>
      <c r="S91" s="45">
        <v>1035</v>
      </c>
    </row>
    <row r="92" spans="1:19" x14ac:dyDescent="0.3">
      <c r="A92" s="21">
        <v>10091</v>
      </c>
      <c r="B92" s="21" t="s">
        <v>79</v>
      </c>
      <c r="C92" s="21" t="s">
        <v>1647</v>
      </c>
      <c r="D92" s="21">
        <v>9730747101</v>
      </c>
      <c r="E92" s="21" t="s">
        <v>57</v>
      </c>
      <c r="F92" s="21" t="s">
        <v>50</v>
      </c>
      <c r="G92" s="43" t="s">
        <v>411</v>
      </c>
      <c r="H92" s="43" t="s">
        <v>83</v>
      </c>
      <c r="I92" s="43">
        <v>3</v>
      </c>
      <c r="J92" s="43">
        <v>46309</v>
      </c>
      <c r="K92" s="43">
        <v>15</v>
      </c>
      <c r="L92" s="44">
        <v>45595</v>
      </c>
      <c r="M92" s="43" t="s">
        <v>43</v>
      </c>
      <c r="N92" s="43" t="s">
        <v>25</v>
      </c>
      <c r="O92" s="43" t="s">
        <v>53</v>
      </c>
      <c r="P92" s="43">
        <v>4</v>
      </c>
      <c r="Q92" s="45">
        <v>138927</v>
      </c>
      <c r="R92" s="45">
        <v>20839.05</v>
      </c>
      <c r="S92" s="45">
        <v>118087.95</v>
      </c>
    </row>
    <row r="93" spans="1:19" x14ac:dyDescent="0.3">
      <c r="A93" s="21">
        <v>10092</v>
      </c>
      <c r="B93" s="21" t="s">
        <v>940</v>
      </c>
      <c r="C93" s="21" t="s">
        <v>1724</v>
      </c>
      <c r="D93" s="21">
        <v>9270505471</v>
      </c>
      <c r="E93" s="21" t="s">
        <v>172</v>
      </c>
      <c r="F93" s="21" t="s">
        <v>150</v>
      </c>
      <c r="G93" s="43" t="s">
        <v>99</v>
      </c>
      <c r="H93" s="43" t="s">
        <v>92</v>
      </c>
      <c r="I93" s="43">
        <v>1</v>
      </c>
      <c r="J93" s="43">
        <v>2379</v>
      </c>
      <c r="K93" s="43">
        <v>15</v>
      </c>
      <c r="L93" s="44">
        <v>45539</v>
      </c>
      <c r="M93" s="43" t="s">
        <v>1649</v>
      </c>
      <c r="N93" s="43" t="s">
        <v>456</v>
      </c>
      <c r="O93" s="43" t="s">
        <v>53</v>
      </c>
      <c r="P93" s="43">
        <v>2</v>
      </c>
      <c r="Q93" s="45">
        <v>2379</v>
      </c>
      <c r="R93" s="45">
        <v>356.85</v>
      </c>
      <c r="S93" s="45">
        <v>2022.15</v>
      </c>
    </row>
    <row r="94" spans="1:19" x14ac:dyDescent="0.3">
      <c r="A94" s="21">
        <v>10093</v>
      </c>
      <c r="B94" s="21" t="s">
        <v>1046</v>
      </c>
      <c r="C94" s="21" t="s">
        <v>1777</v>
      </c>
      <c r="D94" s="21">
        <v>9303378390</v>
      </c>
      <c r="E94" s="21" t="s">
        <v>172</v>
      </c>
      <c r="F94" s="21" t="s">
        <v>150</v>
      </c>
      <c r="G94" s="43" t="s">
        <v>368</v>
      </c>
      <c r="H94" s="43" t="s">
        <v>22</v>
      </c>
      <c r="I94" s="43">
        <v>5</v>
      </c>
      <c r="J94" s="43">
        <v>1949</v>
      </c>
      <c r="K94" s="43">
        <v>20</v>
      </c>
      <c r="L94" s="44">
        <v>45468</v>
      </c>
      <c r="M94" s="43" t="s">
        <v>1649</v>
      </c>
      <c r="N94" s="43" t="s">
        <v>25</v>
      </c>
      <c r="O94" s="43" t="s">
        <v>45</v>
      </c>
      <c r="P94" s="43">
        <v>2</v>
      </c>
      <c r="Q94" s="45">
        <v>9745</v>
      </c>
      <c r="R94" s="45">
        <v>1949</v>
      </c>
      <c r="S94" s="45">
        <v>7796</v>
      </c>
    </row>
    <row r="95" spans="1:19" x14ac:dyDescent="0.3">
      <c r="A95" s="21">
        <v>10094</v>
      </c>
      <c r="B95" s="21" t="s">
        <v>187</v>
      </c>
      <c r="C95" s="21" t="s">
        <v>1663</v>
      </c>
      <c r="D95" s="21">
        <v>9590650511</v>
      </c>
      <c r="E95" s="21" t="s">
        <v>279</v>
      </c>
      <c r="F95" s="21" t="s">
        <v>259</v>
      </c>
      <c r="G95" s="43" t="s">
        <v>368</v>
      </c>
      <c r="H95" s="43" t="s">
        <v>22</v>
      </c>
      <c r="I95" s="43">
        <v>5</v>
      </c>
      <c r="J95" s="43">
        <v>858</v>
      </c>
      <c r="K95" s="43">
        <v>0</v>
      </c>
      <c r="L95" s="44">
        <v>45572</v>
      </c>
      <c r="M95" s="43" t="s">
        <v>43</v>
      </c>
      <c r="N95" s="43" t="s">
        <v>25</v>
      </c>
      <c r="O95" s="43" t="s">
        <v>53</v>
      </c>
      <c r="P95" s="43">
        <v>3</v>
      </c>
      <c r="Q95" s="45">
        <v>4290</v>
      </c>
      <c r="R95" s="45">
        <v>0</v>
      </c>
      <c r="S95" s="45">
        <v>4290</v>
      </c>
    </row>
    <row r="96" spans="1:19" x14ac:dyDescent="0.3">
      <c r="A96" s="21">
        <v>10095</v>
      </c>
      <c r="B96" s="21" t="s">
        <v>644</v>
      </c>
      <c r="C96" s="21" t="s">
        <v>1733</v>
      </c>
      <c r="D96" s="21">
        <v>9496350754</v>
      </c>
      <c r="E96" s="21" t="s">
        <v>371</v>
      </c>
      <c r="F96" s="21" t="s">
        <v>98</v>
      </c>
      <c r="G96" s="43" t="s">
        <v>204</v>
      </c>
      <c r="H96" s="43" t="s">
        <v>143</v>
      </c>
      <c r="I96" s="43">
        <v>3</v>
      </c>
      <c r="J96" s="43">
        <v>398</v>
      </c>
      <c r="K96" s="43">
        <v>0</v>
      </c>
      <c r="L96" s="44">
        <v>45436</v>
      </c>
      <c r="M96" s="43" t="s">
        <v>1646</v>
      </c>
      <c r="N96" s="43" t="s">
        <v>119</v>
      </c>
      <c r="O96" s="43" t="s">
        <v>53</v>
      </c>
      <c r="P96" s="43">
        <v>5</v>
      </c>
      <c r="Q96" s="45">
        <v>1194</v>
      </c>
      <c r="R96" s="45">
        <v>0</v>
      </c>
      <c r="S96" s="45">
        <v>1194</v>
      </c>
    </row>
    <row r="97" spans="1:19" x14ac:dyDescent="0.3">
      <c r="A97" s="21">
        <v>10096</v>
      </c>
      <c r="B97" s="21" t="s">
        <v>314</v>
      </c>
      <c r="C97" s="21" t="s">
        <v>1682</v>
      </c>
      <c r="D97" s="21" t="s">
        <v>1812</v>
      </c>
      <c r="E97" s="21" t="s">
        <v>111</v>
      </c>
      <c r="F97" s="21" t="s">
        <v>111</v>
      </c>
      <c r="G97" s="43" t="s">
        <v>21</v>
      </c>
      <c r="H97" s="43" t="s">
        <v>22</v>
      </c>
      <c r="I97" s="43">
        <v>5</v>
      </c>
      <c r="J97" s="43">
        <v>681</v>
      </c>
      <c r="K97" s="43">
        <v>10</v>
      </c>
      <c r="L97" s="44">
        <v>45640</v>
      </c>
      <c r="M97" s="43" t="s">
        <v>43</v>
      </c>
      <c r="N97" s="43" t="s">
        <v>25</v>
      </c>
      <c r="O97" s="43" t="s">
        <v>1641</v>
      </c>
      <c r="P97" s="43">
        <v>1</v>
      </c>
      <c r="Q97" s="45">
        <v>3405</v>
      </c>
      <c r="R97" s="45">
        <v>340.5</v>
      </c>
      <c r="S97" s="45">
        <v>3064.5</v>
      </c>
    </row>
    <row r="98" spans="1:19" x14ac:dyDescent="0.3">
      <c r="A98" s="21">
        <v>10097</v>
      </c>
      <c r="B98" s="21" t="s">
        <v>870</v>
      </c>
      <c r="C98" s="21" t="s">
        <v>1761</v>
      </c>
      <c r="D98" s="21">
        <v>9946150157</v>
      </c>
      <c r="E98" s="21" t="s">
        <v>172</v>
      </c>
      <c r="F98" s="21" t="s">
        <v>150</v>
      </c>
      <c r="G98" s="43" t="s">
        <v>198</v>
      </c>
      <c r="H98" s="43" t="s">
        <v>41</v>
      </c>
      <c r="I98" s="43">
        <v>1</v>
      </c>
      <c r="J98" s="43">
        <v>314</v>
      </c>
      <c r="K98" s="43">
        <v>0</v>
      </c>
      <c r="L98" s="44">
        <v>45425</v>
      </c>
      <c r="M98" s="43" t="s">
        <v>69</v>
      </c>
      <c r="N98" s="43" t="s">
        <v>25</v>
      </c>
      <c r="O98" s="43" t="s">
        <v>53</v>
      </c>
      <c r="P98" s="43">
        <v>2</v>
      </c>
      <c r="Q98" s="45">
        <v>314</v>
      </c>
      <c r="R98" s="45">
        <v>0</v>
      </c>
      <c r="S98" s="45">
        <v>314</v>
      </c>
    </row>
    <row r="99" spans="1:19" x14ac:dyDescent="0.3">
      <c r="A99" s="21">
        <v>10098</v>
      </c>
      <c r="B99" s="21" t="s">
        <v>1572</v>
      </c>
      <c r="C99" s="21" t="s">
        <v>1791</v>
      </c>
      <c r="D99" s="21">
        <v>9916913519</v>
      </c>
      <c r="E99" s="21" t="s">
        <v>219</v>
      </c>
      <c r="F99" s="21" t="s">
        <v>150</v>
      </c>
      <c r="G99" s="43" t="s">
        <v>106</v>
      </c>
      <c r="H99" s="43" t="s">
        <v>83</v>
      </c>
      <c r="I99" s="43">
        <v>1</v>
      </c>
      <c r="J99" s="43">
        <v>13645</v>
      </c>
      <c r="K99" s="43">
        <v>5</v>
      </c>
      <c r="L99" s="44">
        <v>45441</v>
      </c>
      <c r="M99" s="43" t="s">
        <v>1649</v>
      </c>
      <c r="N99" s="43" t="s">
        <v>25</v>
      </c>
      <c r="O99" s="43" t="s">
        <v>174</v>
      </c>
      <c r="P99" s="43">
        <v>1</v>
      </c>
      <c r="Q99" s="45">
        <v>13645</v>
      </c>
      <c r="R99" s="45">
        <v>682.25</v>
      </c>
      <c r="S99" s="45">
        <v>12962.75</v>
      </c>
    </row>
    <row r="100" spans="1:19" x14ac:dyDescent="0.3">
      <c r="A100" s="21">
        <v>10099</v>
      </c>
      <c r="B100" s="21" t="s">
        <v>1106</v>
      </c>
      <c r="C100" s="21" t="s">
        <v>1780</v>
      </c>
      <c r="D100" s="21">
        <v>9882828058</v>
      </c>
      <c r="E100" s="21" t="s">
        <v>391</v>
      </c>
      <c r="F100" s="21" t="s">
        <v>90</v>
      </c>
      <c r="G100" s="43" t="s">
        <v>368</v>
      </c>
      <c r="H100" s="43" t="s">
        <v>22</v>
      </c>
      <c r="I100" s="43">
        <v>1</v>
      </c>
      <c r="J100" s="43">
        <v>889</v>
      </c>
      <c r="K100" s="43">
        <v>0</v>
      </c>
      <c r="L100" s="44">
        <v>45602</v>
      </c>
      <c r="M100" s="43" t="s">
        <v>1649</v>
      </c>
      <c r="N100" s="43" t="s">
        <v>25</v>
      </c>
      <c r="O100" s="43" t="s">
        <v>174</v>
      </c>
      <c r="P100" s="43">
        <v>1</v>
      </c>
      <c r="Q100" s="45">
        <v>889</v>
      </c>
      <c r="R100" s="45">
        <v>0</v>
      </c>
      <c r="S100" s="45">
        <v>889</v>
      </c>
    </row>
    <row r="101" spans="1:19" x14ac:dyDescent="0.3">
      <c r="A101" s="21">
        <v>10100</v>
      </c>
      <c r="B101" s="21" t="s">
        <v>1191</v>
      </c>
      <c r="C101" s="21" t="s">
        <v>1192</v>
      </c>
      <c r="D101" s="21">
        <v>9508645167</v>
      </c>
      <c r="E101" s="21" t="s">
        <v>111</v>
      </c>
      <c r="F101" s="21" t="s">
        <v>111</v>
      </c>
      <c r="G101" s="43" t="s">
        <v>106</v>
      </c>
      <c r="H101" s="43" t="s">
        <v>83</v>
      </c>
      <c r="I101" s="43">
        <v>5</v>
      </c>
      <c r="J101" s="43">
        <v>10440</v>
      </c>
      <c r="K101" s="43">
        <v>20</v>
      </c>
      <c r="L101" s="44">
        <v>45541</v>
      </c>
      <c r="M101" s="43" t="s">
        <v>24</v>
      </c>
      <c r="N101" s="43" t="s">
        <v>25</v>
      </c>
      <c r="O101" s="43" t="s">
        <v>71</v>
      </c>
      <c r="P101" s="43" t="s">
        <v>1813</v>
      </c>
      <c r="Q101" s="45">
        <v>52200</v>
      </c>
      <c r="R101" s="45">
        <v>10440</v>
      </c>
      <c r="S101" s="45">
        <v>41760</v>
      </c>
    </row>
    <row r="102" spans="1:19" x14ac:dyDescent="0.3">
      <c r="A102" s="21">
        <v>10101</v>
      </c>
      <c r="B102" s="21" t="s">
        <v>854</v>
      </c>
      <c r="C102" s="21" t="s">
        <v>1760</v>
      </c>
      <c r="D102" s="21">
        <v>9616196985</v>
      </c>
      <c r="E102" s="21" t="s">
        <v>273</v>
      </c>
      <c r="F102" s="21" t="s">
        <v>50</v>
      </c>
      <c r="G102" s="43" t="s">
        <v>99</v>
      </c>
      <c r="H102" s="43" t="s">
        <v>92</v>
      </c>
      <c r="I102" s="43">
        <v>1</v>
      </c>
      <c r="J102" s="43">
        <v>3719</v>
      </c>
      <c r="K102" s="43">
        <v>0</v>
      </c>
      <c r="L102" s="44">
        <v>45564</v>
      </c>
      <c r="M102" s="43" t="s">
        <v>24</v>
      </c>
      <c r="N102" s="43" t="s">
        <v>25</v>
      </c>
      <c r="O102" s="43" t="s">
        <v>53</v>
      </c>
      <c r="P102" s="43">
        <v>4</v>
      </c>
      <c r="Q102" s="45">
        <v>3719</v>
      </c>
      <c r="R102" s="45">
        <v>0</v>
      </c>
      <c r="S102" s="45">
        <v>3719</v>
      </c>
    </row>
    <row r="103" spans="1:19" x14ac:dyDescent="0.3">
      <c r="A103" s="21">
        <v>10102</v>
      </c>
      <c r="B103" s="21" t="s">
        <v>651</v>
      </c>
      <c r="C103" s="21" t="s">
        <v>1683</v>
      </c>
      <c r="D103" s="21">
        <v>9531675037</v>
      </c>
      <c r="E103" s="21" t="s">
        <v>172</v>
      </c>
      <c r="F103" s="21" t="s">
        <v>150</v>
      </c>
      <c r="G103" s="43" t="s">
        <v>21</v>
      </c>
      <c r="H103" s="43" t="s">
        <v>22</v>
      </c>
      <c r="I103" s="43">
        <v>2</v>
      </c>
      <c r="J103" s="43">
        <v>422</v>
      </c>
      <c r="K103" s="43">
        <v>5</v>
      </c>
      <c r="L103" s="44">
        <v>45578</v>
      </c>
      <c r="M103" s="43" t="s">
        <v>1649</v>
      </c>
      <c r="N103" s="43" t="s">
        <v>25</v>
      </c>
      <c r="O103" s="43" t="s">
        <v>53</v>
      </c>
      <c r="P103" s="43">
        <v>1</v>
      </c>
      <c r="Q103" s="45">
        <v>844</v>
      </c>
      <c r="R103" s="45">
        <v>42.2</v>
      </c>
      <c r="S103" s="45">
        <v>801.8</v>
      </c>
    </row>
    <row r="104" spans="1:19" x14ac:dyDescent="0.3">
      <c r="A104" s="21">
        <v>10103</v>
      </c>
      <c r="B104" s="21" t="s">
        <v>722</v>
      </c>
      <c r="C104" s="21" t="s">
        <v>1704</v>
      </c>
      <c r="D104" s="21">
        <v>9127893192</v>
      </c>
      <c r="E104" s="21" t="s">
        <v>74</v>
      </c>
      <c r="F104" s="21" t="s">
        <v>75</v>
      </c>
      <c r="G104" s="43" t="s">
        <v>151</v>
      </c>
      <c r="H104" s="43" t="s">
        <v>143</v>
      </c>
      <c r="I104" s="43">
        <v>4</v>
      </c>
      <c r="J104" s="43">
        <v>372</v>
      </c>
      <c r="K104" s="43">
        <v>10</v>
      </c>
      <c r="L104" s="44">
        <v>45474</v>
      </c>
      <c r="M104" s="43" t="s">
        <v>43</v>
      </c>
      <c r="N104" s="43" t="s">
        <v>25</v>
      </c>
      <c r="O104" s="43" t="s">
        <v>34</v>
      </c>
      <c r="P104" s="43" t="s">
        <v>1813</v>
      </c>
      <c r="Q104" s="45">
        <v>1488</v>
      </c>
      <c r="R104" s="45">
        <v>148.80000000000001</v>
      </c>
      <c r="S104" s="45">
        <v>1339.2</v>
      </c>
    </row>
    <row r="105" spans="1:19" x14ac:dyDescent="0.3">
      <c r="A105" s="21">
        <v>10104</v>
      </c>
      <c r="B105" s="21" t="s">
        <v>574</v>
      </c>
      <c r="C105" s="21" t="s">
        <v>1708</v>
      </c>
      <c r="D105" s="21" t="s">
        <v>1812</v>
      </c>
      <c r="E105" s="21" t="s">
        <v>111</v>
      </c>
      <c r="F105" s="21" t="s">
        <v>111</v>
      </c>
      <c r="G105" s="43" t="s">
        <v>112</v>
      </c>
      <c r="H105" s="43" t="s">
        <v>83</v>
      </c>
      <c r="I105" s="43">
        <v>2</v>
      </c>
      <c r="J105" s="43">
        <v>25809</v>
      </c>
      <c r="K105" s="43">
        <v>10</v>
      </c>
      <c r="L105" s="44">
        <v>45477</v>
      </c>
      <c r="M105" s="43" t="s">
        <v>1646</v>
      </c>
      <c r="N105" s="43" t="s">
        <v>25</v>
      </c>
      <c r="O105" s="43" t="s">
        <v>53</v>
      </c>
      <c r="P105" s="43">
        <v>1</v>
      </c>
      <c r="Q105" s="45">
        <v>51618</v>
      </c>
      <c r="R105" s="45">
        <v>5161.8</v>
      </c>
      <c r="S105" s="45">
        <v>46456.2</v>
      </c>
    </row>
    <row r="106" spans="1:19" x14ac:dyDescent="0.3">
      <c r="A106" s="21">
        <v>10105</v>
      </c>
      <c r="B106" s="21" t="s">
        <v>639</v>
      </c>
      <c r="C106" s="21" t="s">
        <v>1732</v>
      </c>
      <c r="D106" s="21" t="s">
        <v>1812</v>
      </c>
      <c r="E106" s="21" t="s">
        <v>371</v>
      </c>
      <c r="F106" s="21" t="s">
        <v>98</v>
      </c>
      <c r="G106" s="43" t="s">
        <v>226</v>
      </c>
      <c r="H106" s="43" t="s">
        <v>22</v>
      </c>
      <c r="I106" s="43">
        <v>1</v>
      </c>
      <c r="J106" s="43">
        <v>1406</v>
      </c>
      <c r="K106" s="43">
        <v>0</v>
      </c>
      <c r="L106" s="44">
        <v>45312</v>
      </c>
      <c r="M106" s="43" t="s">
        <v>1646</v>
      </c>
      <c r="N106" s="43" t="s">
        <v>25</v>
      </c>
      <c r="O106" s="43" t="s">
        <v>1641</v>
      </c>
      <c r="P106" s="43">
        <v>3</v>
      </c>
      <c r="Q106" s="45">
        <v>1406</v>
      </c>
      <c r="R106" s="45">
        <v>0</v>
      </c>
      <c r="S106" s="45">
        <v>1406</v>
      </c>
    </row>
    <row r="107" spans="1:19" x14ac:dyDescent="0.3">
      <c r="A107" s="21">
        <v>10106</v>
      </c>
      <c r="B107" s="21" t="s">
        <v>1700</v>
      </c>
      <c r="C107" s="21" t="s">
        <v>1701</v>
      </c>
      <c r="D107" s="21">
        <v>9679363017</v>
      </c>
      <c r="E107" s="21" t="s">
        <v>343</v>
      </c>
      <c r="F107" s="21" t="s">
        <v>50</v>
      </c>
      <c r="G107" s="43" t="s">
        <v>411</v>
      </c>
      <c r="H107" s="43" t="s">
        <v>83</v>
      </c>
      <c r="I107" s="43">
        <v>4</v>
      </c>
      <c r="J107" s="43">
        <v>60267</v>
      </c>
      <c r="K107" s="43">
        <v>5</v>
      </c>
      <c r="L107" s="44">
        <v>45624</v>
      </c>
      <c r="M107" s="43" t="s">
        <v>43</v>
      </c>
      <c r="N107" s="43" t="s">
        <v>25</v>
      </c>
      <c r="O107" s="43" t="s">
        <v>71</v>
      </c>
      <c r="P107" s="43">
        <v>1</v>
      </c>
      <c r="Q107" s="45">
        <v>241068</v>
      </c>
      <c r="R107" s="45">
        <v>12053.4</v>
      </c>
      <c r="S107" s="45">
        <v>229014.6</v>
      </c>
    </row>
    <row r="108" spans="1:19" x14ac:dyDescent="0.3">
      <c r="A108" s="21">
        <v>10107</v>
      </c>
      <c r="B108" s="21" t="s">
        <v>716</v>
      </c>
      <c r="C108" s="21" t="s">
        <v>217</v>
      </c>
      <c r="D108" s="21">
        <v>9818497006</v>
      </c>
      <c r="E108" s="21" t="s">
        <v>219</v>
      </c>
      <c r="F108" s="21" t="s">
        <v>150</v>
      </c>
      <c r="G108" s="43" t="s">
        <v>21</v>
      </c>
      <c r="H108" s="43" t="s">
        <v>22</v>
      </c>
      <c r="I108" s="43">
        <v>1</v>
      </c>
      <c r="J108" s="43">
        <v>881</v>
      </c>
      <c r="K108" s="43">
        <v>10</v>
      </c>
      <c r="L108" s="44">
        <v>45465</v>
      </c>
      <c r="M108" s="43" t="s">
        <v>43</v>
      </c>
      <c r="N108" s="43" t="s">
        <v>25</v>
      </c>
      <c r="O108" s="43" t="s">
        <v>45</v>
      </c>
      <c r="P108" s="43">
        <v>2</v>
      </c>
      <c r="Q108" s="45">
        <v>881</v>
      </c>
      <c r="R108" s="45">
        <v>88.1</v>
      </c>
      <c r="S108" s="45">
        <v>792.9</v>
      </c>
    </row>
    <row r="109" spans="1:19" x14ac:dyDescent="0.3">
      <c r="A109" s="21">
        <v>10108</v>
      </c>
      <c r="B109" s="21" t="s">
        <v>295</v>
      </c>
      <c r="C109" s="21" t="s">
        <v>1654</v>
      </c>
      <c r="D109" s="21">
        <v>9520096331</v>
      </c>
      <c r="E109" s="21" t="s">
        <v>279</v>
      </c>
      <c r="F109" s="21" t="s">
        <v>259</v>
      </c>
      <c r="G109" s="43" t="s">
        <v>161</v>
      </c>
      <c r="H109" s="43" t="s">
        <v>83</v>
      </c>
      <c r="I109" s="43">
        <v>2</v>
      </c>
      <c r="J109" s="43">
        <v>22482</v>
      </c>
      <c r="K109" s="43">
        <v>20</v>
      </c>
      <c r="L109" s="44">
        <v>45334</v>
      </c>
      <c r="M109" s="43" t="s">
        <v>24</v>
      </c>
      <c r="N109" s="43" t="s">
        <v>25</v>
      </c>
      <c r="O109" s="43" t="s">
        <v>71</v>
      </c>
      <c r="P109" s="43" t="s">
        <v>1813</v>
      </c>
      <c r="Q109" s="45">
        <v>44964</v>
      </c>
      <c r="R109" s="45">
        <v>8992.7999999999993</v>
      </c>
      <c r="S109" s="45">
        <v>35971.199999999997</v>
      </c>
    </row>
    <row r="110" spans="1:19" x14ac:dyDescent="0.3">
      <c r="A110" s="21">
        <v>10109</v>
      </c>
      <c r="B110" s="21" t="s">
        <v>300</v>
      </c>
      <c r="C110" s="21" t="s">
        <v>1679</v>
      </c>
      <c r="D110" s="21">
        <v>9853206684</v>
      </c>
      <c r="E110" s="21" t="s">
        <v>172</v>
      </c>
      <c r="F110" s="21" t="s">
        <v>150</v>
      </c>
      <c r="G110" s="43" t="s">
        <v>198</v>
      </c>
      <c r="H110" s="43" t="s">
        <v>41</v>
      </c>
      <c r="I110" s="43">
        <v>2</v>
      </c>
      <c r="J110" s="43">
        <v>221</v>
      </c>
      <c r="K110" s="43">
        <v>5</v>
      </c>
      <c r="L110" s="44">
        <v>45574</v>
      </c>
      <c r="M110" s="43" t="s">
        <v>69</v>
      </c>
      <c r="N110" s="43" t="s">
        <v>25</v>
      </c>
      <c r="O110" s="43" t="s">
        <v>53</v>
      </c>
      <c r="P110" s="43">
        <v>4</v>
      </c>
      <c r="Q110" s="45">
        <v>442</v>
      </c>
      <c r="R110" s="45">
        <v>22.1</v>
      </c>
      <c r="S110" s="45">
        <v>419.9</v>
      </c>
    </row>
    <row r="111" spans="1:19" x14ac:dyDescent="0.3">
      <c r="A111" s="21">
        <v>10110</v>
      </c>
      <c r="B111" s="21" t="s">
        <v>1083</v>
      </c>
      <c r="C111" s="21" t="s">
        <v>1746</v>
      </c>
      <c r="D111" s="21">
        <v>9611467907</v>
      </c>
      <c r="E111" s="21" t="s">
        <v>38</v>
      </c>
      <c r="F111" s="21" t="s">
        <v>429</v>
      </c>
      <c r="G111" s="43" t="s">
        <v>106</v>
      </c>
      <c r="H111" s="43" t="s">
        <v>83</v>
      </c>
      <c r="I111" s="43">
        <v>1</v>
      </c>
      <c r="J111" s="43">
        <v>8700</v>
      </c>
      <c r="K111" s="43">
        <v>10</v>
      </c>
      <c r="L111" s="44">
        <v>45607</v>
      </c>
      <c r="M111" s="43" t="s">
        <v>1646</v>
      </c>
      <c r="N111" s="43" t="s">
        <v>25</v>
      </c>
      <c r="O111" s="43" t="s">
        <v>45</v>
      </c>
      <c r="P111" s="43">
        <v>2</v>
      </c>
      <c r="Q111" s="45">
        <v>8700</v>
      </c>
      <c r="R111" s="45">
        <v>870</v>
      </c>
      <c r="S111" s="45">
        <v>7830</v>
      </c>
    </row>
    <row r="112" spans="1:19" x14ac:dyDescent="0.3">
      <c r="A112" s="21">
        <v>10111</v>
      </c>
      <c r="B112" s="21" t="s">
        <v>1657</v>
      </c>
      <c r="C112" s="21" t="s">
        <v>1756</v>
      </c>
      <c r="D112" s="21">
        <v>9890106903</v>
      </c>
      <c r="E112" s="21" t="s">
        <v>197</v>
      </c>
      <c r="F112" s="21" t="s">
        <v>191</v>
      </c>
      <c r="G112" s="43" t="s">
        <v>204</v>
      </c>
      <c r="H112" s="43" t="s">
        <v>143</v>
      </c>
      <c r="I112" s="43">
        <v>5</v>
      </c>
      <c r="J112" s="43">
        <v>218</v>
      </c>
      <c r="K112" s="43">
        <v>20</v>
      </c>
      <c r="L112" s="44">
        <v>45382</v>
      </c>
      <c r="M112" s="43" t="s">
        <v>43</v>
      </c>
      <c r="N112" s="43" t="s">
        <v>25</v>
      </c>
      <c r="O112" s="43" t="s">
        <v>1641</v>
      </c>
      <c r="P112" s="43">
        <v>4</v>
      </c>
      <c r="Q112" s="45">
        <v>1090</v>
      </c>
      <c r="R112" s="45">
        <v>218</v>
      </c>
      <c r="S112" s="45">
        <v>872</v>
      </c>
    </row>
    <row r="113" spans="1:19" x14ac:dyDescent="0.3">
      <c r="A113" s="21">
        <v>10112</v>
      </c>
      <c r="B113" s="21" t="s">
        <v>1093</v>
      </c>
      <c r="C113" s="21" t="s">
        <v>1645</v>
      </c>
      <c r="D113" s="21">
        <v>9310838362</v>
      </c>
      <c r="E113" s="21" t="s">
        <v>343</v>
      </c>
      <c r="F113" s="21" t="s">
        <v>50</v>
      </c>
      <c r="G113" s="43" t="s">
        <v>368</v>
      </c>
      <c r="H113" s="43" t="s">
        <v>22</v>
      </c>
      <c r="I113" s="43">
        <v>2</v>
      </c>
      <c r="J113" s="43">
        <v>918</v>
      </c>
      <c r="K113" s="43">
        <v>0</v>
      </c>
      <c r="L113" s="44">
        <v>45326</v>
      </c>
      <c r="M113" s="43" t="s">
        <v>24</v>
      </c>
      <c r="N113" s="43" t="s">
        <v>25</v>
      </c>
      <c r="O113" s="43" t="s">
        <v>71</v>
      </c>
      <c r="P113" s="43">
        <v>4</v>
      </c>
      <c r="Q113" s="45">
        <v>1836</v>
      </c>
      <c r="R113" s="45">
        <v>0</v>
      </c>
      <c r="S113" s="45">
        <v>1836</v>
      </c>
    </row>
    <row r="114" spans="1:19" x14ac:dyDescent="0.3">
      <c r="A114" s="21">
        <v>10113</v>
      </c>
      <c r="B114" s="21" t="s">
        <v>707</v>
      </c>
      <c r="C114" s="21" t="s">
        <v>1744</v>
      </c>
      <c r="D114" s="21" t="s">
        <v>1812</v>
      </c>
      <c r="E114" s="21" t="s">
        <v>279</v>
      </c>
      <c r="F114" s="21" t="s">
        <v>259</v>
      </c>
      <c r="G114" s="43" t="s">
        <v>21</v>
      </c>
      <c r="H114" s="43" t="s">
        <v>22</v>
      </c>
      <c r="I114" s="43">
        <v>2</v>
      </c>
      <c r="J114" s="43">
        <v>522</v>
      </c>
      <c r="K114" s="43">
        <v>15</v>
      </c>
      <c r="L114" s="44">
        <v>45568</v>
      </c>
      <c r="M114" s="43" t="s">
        <v>1649</v>
      </c>
      <c r="N114" s="43" t="s">
        <v>25</v>
      </c>
      <c r="O114" s="43" t="s">
        <v>71</v>
      </c>
      <c r="P114" s="43">
        <v>2</v>
      </c>
      <c r="Q114" s="45">
        <v>1044</v>
      </c>
      <c r="R114" s="45">
        <v>156.6</v>
      </c>
      <c r="S114" s="45">
        <v>887.4</v>
      </c>
    </row>
    <row r="115" spans="1:19" x14ac:dyDescent="0.3">
      <c r="A115" s="21">
        <v>10114</v>
      </c>
      <c r="B115" s="21" t="s">
        <v>72</v>
      </c>
      <c r="C115" s="21" t="s">
        <v>1711</v>
      </c>
      <c r="D115" s="21">
        <v>9360363208</v>
      </c>
      <c r="E115" s="21" t="s">
        <v>371</v>
      </c>
      <c r="F115" s="21" t="s">
        <v>98</v>
      </c>
      <c r="G115" s="43" t="s">
        <v>21</v>
      </c>
      <c r="H115" s="43" t="s">
        <v>22</v>
      </c>
      <c r="I115" s="43">
        <v>1</v>
      </c>
      <c r="J115" s="43">
        <v>816</v>
      </c>
      <c r="K115" s="43">
        <v>15</v>
      </c>
      <c r="L115" s="44">
        <v>45409</v>
      </c>
      <c r="M115" s="43" t="s">
        <v>69</v>
      </c>
      <c r="N115" s="43" t="s">
        <v>25</v>
      </c>
      <c r="O115" s="43" t="s">
        <v>1641</v>
      </c>
      <c r="P115" s="43">
        <v>1</v>
      </c>
      <c r="Q115" s="45">
        <v>816</v>
      </c>
      <c r="R115" s="45">
        <v>122.4</v>
      </c>
      <c r="S115" s="45">
        <v>693.6</v>
      </c>
    </row>
    <row r="116" spans="1:19" x14ac:dyDescent="0.3">
      <c r="A116" s="21">
        <v>10115</v>
      </c>
      <c r="B116" s="21" t="s">
        <v>1477</v>
      </c>
      <c r="C116" s="21" t="s">
        <v>1779</v>
      </c>
      <c r="D116" s="21">
        <v>9192498086</v>
      </c>
      <c r="E116" s="21" t="s">
        <v>111</v>
      </c>
      <c r="F116" s="21" t="s">
        <v>111</v>
      </c>
      <c r="G116" s="43" t="s">
        <v>231</v>
      </c>
      <c r="H116" s="43" t="s">
        <v>83</v>
      </c>
      <c r="I116" s="43">
        <v>5</v>
      </c>
      <c r="J116" s="43">
        <v>3856</v>
      </c>
      <c r="K116" s="43">
        <v>0</v>
      </c>
      <c r="L116" s="44">
        <v>45545</v>
      </c>
      <c r="M116" s="43" t="s">
        <v>43</v>
      </c>
      <c r="N116" s="43" t="s">
        <v>25</v>
      </c>
      <c r="O116" s="43" t="s">
        <v>71</v>
      </c>
      <c r="P116" s="43">
        <v>2</v>
      </c>
      <c r="Q116" s="45">
        <v>19280</v>
      </c>
      <c r="R116" s="45">
        <v>0</v>
      </c>
      <c r="S116" s="45">
        <v>19280</v>
      </c>
    </row>
    <row r="117" spans="1:19" x14ac:dyDescent="0.3">
      <c r="A117" s="21">
        <v>10116</v>
      </c>
      <c r="B117" s="21" t="s">
        <v>404</v>
      </c>
      <c r="C117" s="21" t="s">
        <v>1695</v>
      </c>
      <c r="D117" s="21">
        <v>9280467098</v>
      </c>
      <c r="E117" s="21" t="s">
        <v>57</v>
      </c>
      <c r="F117" s="21" t="s">
        <v>50</v>
      </c>
      <c r="G117" s="43" t="s">
        <v>21</v>
      </c>
      <c r="H117" s="43" t="s">
        <v>22</v>
      </c>
      <c r="I117" s="43">
        <v>5</v>
      </c>
      <c r="J117" s="43">
        <v>800</v>
      </c>
      <c r="K117" s="43">
        <v>5</v>
      </c>
      <c r="L117" s="44">
        <v>45472</v>
      </c>
      <c r="M117" s="43" t="s">
        <v>69</v>
      </c>
      <c r="N117" s="43" t="s">
        <v>456</v>
      </c>
      <c r="O117" s="43" t="s">
        <v>174</v>
      </c>
      <c r="P117" s="43">
        <v>5</v>
      </c>
      <c r="Q117" s="45">
        <v>4000</v>
      </c>
      <c r="R117" s="45">
        <v>200</v>
      </c>
      <c r="S117" s="45">
        <v>3800</v>
      </c>
    </row>
    <row r="118" spans="1:19" x14ac:dyDescent="0.3">
      <c r="A118" s="21">
        <v>10117</v>
      </c>
      <c r="B118" s="21" t="s">
        <v>538</v>
      </c>
      <c r="C118" s="21" t="s">
        <v>1699</v>
      </c>
      <c r="D118" s="21">
        <v>9689233432</v>
      </c>
      <c r="E118" s="21" t="s">
        <v>111</v>
      </c>
      <c r="F118" s="21" t="s">
        <v>111</v>
      </c>
      <c r="G118" s="43" t="s">
        <v>231</v>
      </c>
      <c r="H118" s="43" t="s">
        <v>83</v>
      </c>
      <c r="I118" s="43">
        <v>5</v>
      </c>
      <c r="J118" s="43">
        <v>3269</v>
      </c>
      <c r="K118" s="43">
        <v>0</v>
      </c>
      <c r="L118" s="44">
        <v>45486</v>
      </c>
      <c r="M118" s="43" t="s">
        <v>1646</v>
      </c>
      <c r="N118" s="43" t="s">
        <v>25</v>
      </c>
      <c r="O118" s="43" t="s">
        <v>34</v>
      </c>
      <c r="P118" s="43">
        <v>1</v>
      </c>
      <c r="Q118" s="45">
        <v>16345</v>
      </c>
      <c r="R118" s="45">
        <v>0</v>
      </c>
      <c r="S118" s="45">
        <v>16345</v>
      </c>
    </row>
    <row r="119" spans="1:19" x14ac:dyDescent="0.3">
      <c r="A119" s="21">
        <v>10118</v>
      </c>
      <c r="B119" s="21" t="s">
        <v>1581</v>
      </c>
      <c r="C119" s="21" t="s">
        <v>1710</v>
      </c>
      <c r="D119" s="21">
        <v>9627077209</v>
      </c>
      <c r="E119" s="21" t="s">
        <v>273</v>
      </c>
      <c r="F119" s="21" t="s">
        <v>50</v>
      </c>
      <c r="G119" s="43" t="s">
        <v>198</v>
      </c>
      <c r="H119" s="43" t="s">
        <v>41</v>
      </c>
      <c r="I119" s="43">
        <v>3</v>
      </c>
      <c r="J119" s="43">
        <v>215</v>
      </c>
      <c r="K119" s="43">
        <v>0</v>
      </c>
      <c r="L119" s="44">
        <v>45357</v>
      </c>
      <c r="M119" s="43" t="s">
        <v>1646</v>
      </c>
      <c r="N119" s="43" t="s">
        <v>456</v>
      </c>
      <c r="O119" s="43" t="s">
        <v>45</v>
      </c>
      <c r="P119" s="43">
        <v>5</v>
      </c>
      <c r="Q119" s="45">
        <v>645</v>
      </c>
      <c r="R119" s="45">
        <v>0</v>
      </c>
      <c r="S119" s="45">
        <v>645</v>
      </c>
    </row>
    <row r="120" spans="1:19" x14ac:dyDescent="0.3">
      <c r="A120" s="21">
        <v>10119</v>
      </c>
      <c r="B120" s="21" t="s">
        <v>1093</v>
      </c>
      <c r="C120" s="21" t="s">
        <v>1734</v>
      </c>
      <c r="D120" s="21">
        <v>9586637703</v>
      </c>
      <c r="E120" s="21" t="s">
        <v>197</v>
      </c>
      <c r="F120" s="21" t="s">
        <v>191</v>
      </c>
      <c r="G120" s="43" t="s">
        <v>280</v>
      </c>
      <c r="H120" s="43" t="s">
        <v>41</v>
      </c>
      <c r="I120" s="43">
        <v>2</v>
      </c>
      <c r="J120" s="43">
        <v>82</v>
      </c>
      <c r="K120" s="43">
        <v>10</v>
      </c>
      <c r="L120" s="44">
        <v>45481</v>
      </c>
      <c r="M120" s="43" t="s">
        <v>1649</v>
      </c>
      <c r="N120" s="43" t="s">
        <v>25</v>
      </c>
      <c r="O120" s="43" t="s">
        <v>174</v>
      </c>
      <c r="P120" s="43" t="s">
        <v>1813</v>
      </c>
      <c r="Q120" s="45">
        <v>164</v>
      </c>
      <c r="R120" s="45">
        <v>16.399999999999999</v>
      </c>
      <c r="S120" s="45">
        <v>147.6</v>
      </c>
    </row>
    <row r="121" spans="1:19" x14ac:dyDescent="0.3">
      <c r="A121" s="21">
        <v>10120</v>
      </c>
      <c r="B121" s="21" t="s">
        <v>244</v>
      </c>
      <c r="C121" s="21" t="s">
        <v>245</v>
      </c>
      <c r="D121" s="21">
        <v>9299010179</v>
      </c>
      <c r="E121" s="21" t="s">
        <v>279</v>
      </c>
      <c r="F121" s="21" t="s">
        <v>259</v>
      </c>
      <c r="G121" s="43" t="s">
        <v>161</v>
      </c>
      <c r="H121" s="43" t="s">
        <v>83</v>
      </c>
      <c r="I121" s="43">
        <v>4</v>
      </c>
      <c r="J121" s="43">
        <v>18293</v>
      </c>
      <c r="K121" s="43">
        <v>10</v>
      </c>
      <c r="L121" s="44">
        <v>45476</v>
      </c>
      <c r="M121" s="43" t="s">
        <v>1646</v>
      </c>
      <c r="N121" s="43" t="s">
        <v>456</v>
      </c>
      <c r="O121" s="43" t="s">
        <v>53</v>
      </c>
      <c r="P121" s="43">
        <v>1</v>
      </c>
      <c r="Q121" s="45">
        <v>73172</v>
      </c>
      <c r="R121" s="45">
        <v>7317.2</v>
      </c>
      <c r="S121" s="45">
        <v>65854.8</v>
      </c>
    </row>
    <row r="122" spans="1:19" x14ac:dyDescent="0.3">
      <c r="A122" s="21">
        <v>10121</v>
      </c>
      <c r="B122" s="21" t="s">
        <v>1697</v>
      </c>
      <c r="C122" s="21" t="s">
        <v>1645</v>
      </c>
      <c r="D122" s="21">
        <v>9643034113</v>
      </c>
      <c r="E122" s="21" t="s">
        <v>74</v>
      </c>
      <c r="F122" s="21" t="s">
        <v>75</v>
      </c>
      <c r="G122" s="43" t="s">
        <v>151</v>
      </c>
      <c r="H122" s="43" t="s">
        <v>143</v>
      </c>
      <c r="I122" s="43">
        <v>5</v>
      </c>
      <c r="J122" s="43">
        <v>839</v>
      </c>
      <c r="K122" s="43">
        <v>15</v>
      </c>
      <c r="L122" s="44">
        <v>45403</v>
      </c>
      <c r="M122" s="43" t="s">
        <v>1646</v>
      </c>
      <c r="N122" s="43" t="s">
        <v>25</v>
      </c>
      <c r="O122" s="43" t="s">
        <v>53</v>
      </c>
      <c r="P122" s="43">
        <v>1</v>
      </c>
      <c r="Q122" s="45">
        <v>4195</v>
      </c>
      <c r="R122" s="45">
        <v>629.25</v>
      </c>
      <c r="S122" s="45">
        <v>3565.75</v>
      </c>
    </row>
    <row r="123" spans="1:19" x14ac:dyDescent="0.3">
      <c r="A123" s="21">
        <v>10122</v>
      </c>
      <c r="B123" s="21" t="s">
        <v>878</v>
      </c>
      <c r="C123" s="21" t="s">
        <v>1762</v>
      </c>
      <c r="D123" s="21">
        <v>9979708597</v>
      </c>
      <c r="E123" s="21" t="s">
        <v>279</v>
      </c>
      <c r="F123" s="21" t="s">
        <v>259</v>
      </c>
      <c r="G123" s="43" t="s">
        <v>226</v>
      </c>
      <c r="H123" s="43" t="s">
        <v>22</v>
      </c>
      <c r="I123" s="43">
        <v>2</v>
      </c>
      <c r="J123" s="43">
        <v>1280</v>
      </c>
      <c r="K123" s="43">
        <v>0</v>
      </c>
      <c r="L123" s="44">
        <v>45407</v>
      </c>
      <c r="M123" s="43" t="s">
        <v>1646</v>
      </c>
      <c r="N123" s="43" t="s">
        <v>25</v>
      </c>
      <c r="O123" s="43" t="s">
        <v>45</v>
      </c>
      <c r="P123" s="43" t="s">
        <v>1813</v>
      </c>
      <c r="Q123" s="45">
        <v>2560</v>
      </c>
      <c r="R123" s="45">
        <v>0</v>
      </c>
      <c r="S123" s="45">
        <v>2560</v>
      </c>
    </row>
    <row r="124" spans="1:19" x14ac:dyDescent="0.3">
      <c r="A124" s="21">
        <v>10123</v>
      </c>
      <c r="B124" s="21" t="s">
        <v>364</v>
      </c>
      <c r="C124" s="21" t="s">
        <v>1689</v>
      </c>
      <c r="D124" s="21">
        <v>9769553681</v>
      </c>
      <c r="E124" s="21" t="s">
        <v>172</v>
      </c>
      <c r="F124" s="21" t="s">
        <v>150</v>
      </c>
      <c r="G124" s="43" t="s">
        <v>161</v>
      </c>
      <c r="H124" s="43" t="s">
        <v>83</v>
      </c>
      <c r="I124" s="43">
        <v>5</v>
      </c>
      <c r="J124" s="43">
        <v>18107</v>
      </c>
      <c r="K124" s="43">
        <v>5</v>
      </c>
      <c r="L124" s="44">
        <v>45562</v>
      </c>
      <c r="M124" s="43" t="s">
        <v>1646</v>
      </c>
      <c r="N124" s="43" t="s">
        <v>25</v>
      </c>
      <c r="O124" s="43" t="s">
        <v>71</v>
      </c>
      <c r="P124" s="43" t="s">
        <v>1813</v>
      </c>
      <c r="Q124" s="45">
        <v>90535</v>
      </c>
      <c r="R124" s="45">
        <v>4526.75</v>
      </c>
      <c r="S124" s="45">
        <v>86008.25</v>
      </c>
    </row>
    <row r="125" spans="1:19" x14ac:dyDescent="0.3">
      <c r="A125" s="21">
        <v>10124</v>
      </c>
      <c r="B125" s="21" t="s">
        <v>1055</v>
      </c>
      <c r="C125" s="21" t="s">
        <v>1778</v>
      </c>
      <c r="D125" s="21">
        <v>9942442669</v>
      </c>
      <c r="E125" s="21" t="s">
        <v>74</v>
      </c>
      <c r="F125" s="21" t="s">
        <v>75</v>
      </c>
      <c r="G125" s="43" t="s">
        <v>179</v>
      </c>
      <c r="H125" s="43" t="s">
        <v>60</v>
      </c>
      <c r="I125" s="43">
        <v>2</v>
      </c>
      <c r="J125" s="43">
        <v>411</v>
      </c>
      <c r="K125" s="43">
        <v>0</v>
      </c>
      <c r="L125" s="44">
        <v>45630</v>
      </c>
      <c r="M125" s="43" t="s">
        <v>1646</v>
      </c>
      <c r="N125" s="43" t="s">
        <v>25</v>
      </c>
      <c r="O125" s="43" t="s">
        <v>71</v>
      </c>
      <c r="P125" s="43">
        <v>3</v>
      </c>
      <c r="Q125" s="45">
        <v>822</v>
      </c>
      <c r="R125" s="45">
        <v>0</v>
      </c>
      <c r="S125" s="45">
        <v>822</v>
      </c>
    </row>
    <row r="126" spans="1:19" x14ac:dyDescent="0.3">
      <c r="A126" s="21">
        <v>10125</v>
      </c>
      <c r="B126" s="21" t="s">
        <v>561</v>
      </c>
      <c r="C126" s="21" t="s">
        <v>1030</v>
      </c>
      <c r="D126" s="21" t="s">
        <v>1812</v>
      </c>
      <c r="E126" s="21" t="s">
        <v>273</v>
      </c>
      <c r="F126" s="21" t="s">
        <v>50</v>
      </c>
      <c r="G126" s="43" t="s">
        <v>226</v>
      </c>
      <c r="H126" s="43" t="s">
        <v>22</v>
      </c>
      <c r="I126" s="43">
        <v>3</v>
      </c>
      <c r="J126" s="43">
        <v>1842</v>
      </c>
      <c r="K126" s="43">
        <v>5</v>
      </c>
      <c r="L126" s="44">
        <v>45652</v>
      </c>
      <c r="M126" s="43" t="s">
        <v>24</v>
      </c>
      <c r="N126" s="43" t="s">
        <v>25</v>
      </c>
      <c r="O126" s="43" t="s">
        <v>53</v>
      </c>
      <c r="P126" s="43">
        <v>3</v>
      </c>
      <c r="Q126" s="45">
        <v>5526</v>
      </c>
      <c r="R126" s="45">
        <v>276.3</v>
      </c>
      <c r="S126" s="45">
        <v>5249.7</v>
      </c>
    </row>
    <row r="127" spans="1:19" x14ac:dyDescent="0.3">
      <c r="A127" s="21">
        <v>10126</v>
      </c>
      <c r="B127" s="21" t="s">
        <v>414</v>
      </c>
      <c r="C127" s="21" t="s">
        <v>1696</v>
      </c>
      <c r="D127" s="21">
        <v>9849587647</v>
      </c>
      <c r="E127" s="21" t="s">
        <v>391</v>
      </c>
      <c r="F127" s="21" t="s">
        <v>90</v>
      </c>
      <c r="G127" s="43" t="s">
        <v>21</v>
      </c>
      <c r="H127" s="43" t="s">
        <v>22</v>
      </c>
      <c r="I127" s="43">
        <v>4</v>
      </c>
      <c r="J127" s="43">
        <v>1111</v>
      </c>
      <c r="K127" s="43">
        <v>0</v>
      </c>
      <c r="L127" s="44">
        <v>45489</v>
      </c>
      <c r="M127" s="43" t="s">
        <v>1646</v>
      </c>
      <c r="N127" s="43" t="s">
        <v>25</v>
      </c>
      <c r="O127" s="43" t="s">
        <v>1641</v>
      </c>
      <c r="P127" s="43">
        <v>3</v>
      </c>
      <c r="Q127" s="45">
        <v>4444</v>
      </c>
      <c r="R127" s="45">
        <v>0</v>
      </c>
      <c r="S127" s="45">
        <v>4444</v>
      </c>
    </row>
    <row r="128" spans="1:19" x14ac:dyDescent="0.3">
      <c r="A128" s="21">
        <v>10127</v>
      </c>
      <c r="B128" s="21" t="s">
        <v>1137</v>
      </c>
      <c r="C128" s="21" t="s">
        <v>1645</v>
      </c>
      <c r="D128" s="21">
        <v>9910968364</v>
      </c>
      <c r="E128" s="21" t="s">
        <v>74</v>
      </c>
      <c r="F128" s="21" t="s">
        <v>75</v>
      </c>
      <c r="G128" s="43" t="s">
        <v>204</v>
      </c>
      <c r="H128" s="43" t="s">
        <v>143</v>
      </c>
      <c r="I128" s="43">
        <v>2</v>
      </c>
      <c r="J128" s="43">
        <v>354</v>
      </c>
      <c r="K128" s="43">
        <v>10</v>
      </c>
      <c r="L128" s="44">
        <v>45370</v>
      </c>
      <c r="M128" s="43" t="s">
        <v>24</v>
      </c>
      <c r="N128" s="43" t="s">
        <v>25</v>
      </c>
      <c r="O128" s="43" t="s">
        <v>53</v>
      </c>
      <c r="P128" s="43" t="s">
        <v>1813</v>
      </c>
      <c r="Q128" s="45">
        <v>708</v>
      </c>
      <c r="R128" s="45">
        <v>70.8</v>
      </c>
      <c r="S128" s="45">
        <v>637.20000000000005</v>
      </c>
    </row>
    <row r="129" spans="1:19" x14ac:dyDescent="0.3">
      <c r="A129" s="21">
        <v>10128</v>
      </c>
      <c r="B129" s="21" t="s">
        <v>72</v>
      </c>
      <c r="C129" s="21" t="s">
        <v>1645</v>
      </c>
      <c r="D129" s="21">
        <v>9403547922</v>
      </c>
      <c r="E129" s="21" t="s">
        <v>74</v>
      </c>
      <c r="F129" s="21" t="s">
        <v>75</v>
      </c>
      <c r="G129" s="43" t="s">
        <v>198</v>
      </c>
      <c r="H129" s="43" t="s">
        <v>41</v>
      </c>
      <c r="I129" s="43">
        <v>3</v>
      </c>
      <c r="J129" s="43">
        <v>115</v>
      </c>
      <c r="K129" s="43">
        <v>5</v>
      </c>
      <c r="L129" s="44">
        <v>45303</v>
      </c>
      <c r="M129" s="43" t="s">
        <v>1646</v>
      </c>
      <c r="N129" s="43" t="s">
        <v>25</v>
      </c>
      <c r="O129" s="43" t="s">
        <v>53</v>
      </c>
      <c r="P129" s="43">
        <v>3</v>
      </c>
      <c r="Q129" s="45">
        <v>345</v>
      </c>
      <c r="R129" s="45">
        <v>17.25</v>
      </c>
      <c r="S129" s="45">
        <v>327.75</v>
      </c>
    </row>
    <row r="130" spans="1:19" x14ac:dyDescent="0.3">
      <c r="A130" s="21">
        <v>10129</v>
      </c>
      <c r="B130" s="21" t="s">
        <v>1315</v>
      </c>
      <c r="C130" s="21" t="s">
        <v>1797</v>
      </c>
      <c r="D130" s="21">
        <v>9872305860</v>
      </c>
      <c r="E130" s="21" t="s">
        <v>172</v>
      </c>
      <c r="F130" s="21" t="s">
        <v>150</v>
      </c>
      <c r="G130" s="43" t="s">
        <v>161</v>
      </c>
      <c r="H130" s="43" t="s">
        <v>83</v>
      </c>
      <c r="I130" s="43">
        <v>4</v>
      </c>
      <c r="J130" s="43">
        <v>20758</v>
      </c>
      <c r="K130" s="43">
        <v>20</v>
      </c>
      <c r="L130" s="44">
        <v>45376</v>
      </c>
      <c r="M130" s="43" t="s">
        <v>24</v>
      </c>
      <c r="N130" s="43" t="s">
        <v>25</v>
      </c>
      <c r="O130" s="43" t="s">
        <v>174</v>
      </c>
      <c r="P130" s="43" t="s">
        <v>1813</v>
      </c>
      <c r="Q130" s="45">
        <v>83032</v>
      </c>
      <c r="R130" s="45">
        <v>16606.400000000001</v>
      </c>
      <c r="S130" s="45">
        <v>66425.600000000006</v>
      </c>
    </row>
    <row r="131" spans="1:19" x14ac:dyDescent="0.3">
      <c r="A131" s="21">
        <v>10130</v>
      </c>
      <c r="B131" s="21" t="s">
        <v>314</v>
      </c>
      <c r="C131" s="21" t="s">
        <v>1682</v>
      </c>
      <c r="D131" s="21">
        <v>9464039879</v>
      </c>
      <c r="E131" s="21" t="s">
        <v>172</v>
      </c>
      <c r="F131" s="21" t="s">
        <v>150</v>
      </c>
      <c r="G131" s="43" t="s">
        <v>411</v>
      </c>
      <c r="H131" s="43" t="s">
        <v>83</v>
      </c>
      <c r="I131" s="43">
        <v>5</v>
      </c>
      <c r="J131" s="43">
        <v>62356</v>
      </c>
      <c r="K131" s="43">
        <v>0</v>
      </c>
      <c r="L131" s="44">
        <v>45298</v>
      </c>
      <c r="M131" s="43" t="s">
        <v>43</v>
      </c>
      <c r="N131" s="43" t="s">
        <v>25</v>
      </c>
      <c r="O131" s="43" t="s">
        <v>34</v>
      </c>
      <c r="P131" s="43">
        <v>3</v>
      </c>
      <c r="Q131" s="45">
        <v>311780</v>
      </c>
      <c r="R131" s="45">
        <v>0</v>
      </c>
      <c r="S131" s="45">
        <v>311780</v>
      </c>
    </row>
    <row r="132" spans="1:19" x14ac:dyDescent="0.3">
      <c r="A132" s="21">
        <v>10131</v>
      </c>
      <c r="B132" s="21" t="s">
        <v>707</v>
      </c>
      <c r="C132" s="21" t="s">
        <v>1744</v>
      </c>
      <c r="D132" s="21">
        <v>9195433541</v>
      </c>
      <c r="E132" s="21" t="s">
        <v>343</v>
      </c>
      <c r="F132" s="21" t="s">
        <v>50</v>
      </c>
      <c r="G132" s="43" t="s">
        <v>231</v>
      </c>
      <c r="H132" s="43" t="s">
        <v>83</v>
      </c>
      <c r="I132" s="43">
        <v>5</v>
      </c>
      <c r="J132" s="43">
        <v>1969</v>
      </c>
      <c r="K132" s="43">
        <v>0</v>
      </c>
      <c r="L132" s="44">
        <v>45529</v>
      </c>
      <c r="M132" s="43" t="s">
        <v>69</v>
      </c>
      <c r="N132" s="43" t="s">
        <v>119</v>
      </c>
      <c r="O132" s="43" t="s">
        <v>174</v>
      </c>
      <c r="P132" s="43">
        <v>5</v>
      </c>
      <c r="Q132" s="45">
        <v>9845</v>
      </c>
      <c r="R132" s="45">
        <v>0</v>
      </c>
      <c r="S132" s="45">
        <v>9845</v>
      </c>
    </row>
    <row r="133" spans="1:19" x14ac:dyDescent="0.3">
      <c r="A133" s="21">
        <v>10132</v>
      </c>
      <c r="B133" s="21" t="s">
        <v>1297</v>
      </c>
      <c r="C133" s="21" t="s">
        <v>1579</v>
      </c>
      <c r="D133" s="21">
        <v>9194488051</v>
      </c>
      <c r="E133" s="21" t="s">
        <v>371</v>
      </c>
      <c r="F133" s="21" t="s">
        <v>98</v>
      </c>
      <c r="G133" s="43" t="s">
        <v>99</v>
      </c>
      <c r="H133" s="43" t="s">
        <v>92</v>
      </c>
      <c r="I133" s="43">
        <v>3</v>
      </c>
      <c r="J133" s="43">
        <v>2151</v>
      </c>
      <c r="K133" s="43">
        <v>0</v>
      </c>
      <c r="L133" s="44">
        <v>45385</v>
      </c>
      <c r="M133" s="43" t="s">
        <v>24</v>
      </c>
      <c r="N133" s="43" t="s">
        <v>25</v>
      </c>
      <c r="O133" s="43" t="s">
        <v>34</v>
      </c>
      <c r="P133" s="43">
        <v>4</v>
      </c>
      <c r="Q133" s="45">
        <v>6453</v>
      </c>
      <c r="R133" s="45">
        <v>0</v>
      </c>
      <c r="S133" s="45">
        <v>6453</v>
      </c>
    </row>
    <row r="134" spans="1:19" x14ac:dyDescent="0.3">
      <c r="A134" s="21">
        <v>10133</v>
      </c>
      <c r="B134" s="21" t="s">
        <v>631</v>
      </c>
      <c r="C134" s="21" t="s">
        <v>1731</v>
      </c>
      <c r="D134" s="21">
        <v>9291146885</v>
      </c>
      <c r="E134" s="21" t="s">
        <v>343</v>
      </c>
      <c r="F134" s="21" t="s">
        <v>50</v>
      </c>
      <c r="G134" s="43" t="s">
        <v>198</v>
      </c>
      <c r="H134" s="43" t="s">
        <v>41</v>
      </c>
      <c r="I134" s="43">
        <v>1</v>
      </c>
      <c r="J134" s="43">
        <v>258</v>
      </c>
      <c r="K134" s="43">
        <v>0</v>
      </c>
      <c r="L134" s="44">
        <v>45359</v>
      </c>
      <c r="M134" s="43" t="s">
        <v>1649</v>
      </c>
      <c r="N134" s="43" t="s">
        <v>25</v>
      </c>
      <c r="O134" s="43" t="s">
        <v>45</v>
      </c>
      <c r="P134" s="43">
        <v>4</v>
      </c>
      <c r="Q134" s="45">
        <v>258</v>
      </c>
      <c r="R134" s="45">
        <v>0</v>
      </c>
      <c r="S134" s="45">
        <v>258</v>
      </c>
    </row>
    <row r="135" spans="1:19" x14ac:dyDescent="0.3">
      <c r="A135" s="21">
        <v>10134</v>
      </c>
      <c r="B135" s="21" t="s">
        <v>499</v>
      </c>
      <c r="C135" s="21" t="s">
        <v>1652</v>
      </c>
      <c r="D135" s="21">
        <v>9977908582</v>
      </c>
      <c r="E135" s="21" t="s">
        <v>197</v>
      </c>
      <c r="F135" s="21" t="s">
        <v>191</v>
      </c>
      <c r="G135" s="43" t="s">
        <v>99</v>
      </c>
      <c r="H135" s="43" t="s">
        <v>92</v>
      </c>
      <c r="I135" s="43">
        <v>3</v>
      </c>
      <c r="J135" s="43">
        <v>3884</v>
      </c>
      <c r="K135" s="43">
        <v>15</v>
      </c>
      <c r="L135" s="44">
        <v>45329</v>
      </c>
      <c r="M135" s="43" t="s">
        <v>1646</v>
      </c>
      <c r="N135" s="43" t="s">
        <v>25</v>
      </c>
      <c r="O135" s="43" t="s">
        <v>71</v>
      </c>
      <c r="P135" s="43">
        <v>5</v>
      </c>
      <c r="Q135" s="45">
        <v>11652</v>
      </c>
      <c r="R135" s="45">
        <v>1747.8</v>
      </c>
      <c r="S135" s="45">
        <v>9904.2000000000007</v>
      </c>
    </row>
    <row r="136" spans="1:19" x14ac:dyDescent="0.3">
      <c r="A136" s="21">
        <v>10135</v>
      </c>
      <c r="B136" s="21" t="s">
        <v>1011</v>
      </c>
      <c r="C136" s="21" t="s">
        <v>1645</v>
      </c>
      <c r="D136" s="21">
        <v>9399557005</v>
      </c>
      <c r="E136" s="21" t="s">
        <v>38</v>
      </c>
      <c r="F136" s="21" t="s">
        <v>429</v>
      </c>
      <c r="G136" s="43" t="s">
        <v>112</v>
      </c>
      <c r="H136" s="43" t="s">
        <v>83</v>
      </c>
      <c r="I136" s="43">
        <v>4</v>
      </c>
      <c r="J136" s="43">
        <v>23282</v>
      </c>
      <c r="K136" s="43">
        <v>5</v>
      </c>
      <c r="L136" s="44">
        <v>45519</v>
      </c>
      <c r="M136" s="43" t="s">
        <v>1649</v>
      </c>
      <c r="N136" s="43" t="s">
        <v>25</v>
      </c>
      <c r="O136" s="43" t="s">
        <v>174</v>
      </c>
      <c r="P136" s="43">
        <v>5</v>
      </c>
      <c r="Q136" s="45">
        <v>93128</v>
      </c>
      <c r="R136" s="45">
        <v>4656.3999999999996</v>
      </c>
      <c r="S136" s="45">
        <v>88471.6</v>
      </c>
    </row>
    <row r="137" spans="1:19" x14ac:dyDescent="0.3">
      <c r="A137" s="21">
        <v>10136</v>
      </c>
      <c r="B137" s="21" t="s">
        <v>1660</v>
      </c>
      <c r="C137" s="21" t="s">
        <v>1661</v>
      </c>
      <c r="D137" s="21">
        <v>9283702057</v>
      </c>
      <c r="E137" s="21" t="s">
        <v>273</v>
      </c>
      <c r="F137" s="21" t="s">
        <v>50</v>
      </c>
      <c r="G137" s="43" t="s">
        <v>179</v>
      </c>
      <c r="H137" s="43" t="s">
        <v>60</v>
      </c>
      <c r="I137" s="43">
        <v>2</v>
      </c>
      <c r="J137" s="43">
        <v>295</v>
      </c>
      <c r="K137" s="43">
        <v>0</v>
      </c>
      <c r="L137" s="44">
        <v>45510</v>
      </c>
      <c r="M137" s="43" t="s">
        <v>24</v>
      </c>
      <c r="N137" s="43" t="s">
        <v>456</v>
      </c>
      <c r="O137" s="43" t="s">
        <v>174</v>
      </c>
      <c r="P137" s="43">
        <v>2</v>
      </c>
      <c r="Q137" s="45">
        <v>590</v>
      </c>
      <c r="R137" s="45">
        <v>0</v>
      </c>
      <c r="S137" s="45">
        <v>590</v>
      </c>
    </row>
    <row r="138" spans="1:19" x14ac:dyDescent="0.3">
      <c r="A138" s="21">
        <v>10137</v>
      </c>
      <c r="B138" s="21" t="s">
        <v>1676</v>
      </c>
      <c r="C138" s="21" t="s">
        <v>1645</v>
      </c>
      <c r="D138" s="21">
        <v>9221859010</v>
      </c>
      <c r="E138" s="21" t="s">
        <v>74</v>
      </c>
      <c r="F138" s="21" t="s">
        <v>75</v>
      </c>
      <c r="G138" s="43" t="s">
        <v>198</v>
      </c>
      <c r="H138" s="43" t="s">
        <v>41</v>
      </c>
      <c r="I138" s="43">
        <v>3</v>
      </c>
      <c r="J138" s="43">
        <v>391</v>
      </c>
      <c r="K138" s="43">
        <v>0</v>
      </c>
      <c r="L138" s="44">
        <v>45389</v>
      </c>
      <c r="M138" s="43" t="s">
        <v>1649</v>
      </c>
      <c r="N138" s="43" t="s">
        <v>25</v>
      </c>
      <c r="O138" s="43" t="s">
        <v>34</v>
      </c>
      <c r="P138" s="43">
        <v>1</v>
      </c>
      <c r="Q138" s="45">
        <v>1173</v>
      </c>
      <c r="R138" s="45">
        <v>0</v>
      </c>
      <c r="S138" s="45">
        <v>1173</v>
      </c>
    </row>
    <row r="139" spans="1:19" x14ac:dyDescent="0.3">
      <c r="A139" s="21">
        <v>10138</v>
      </c>
      <c r="B139" s="21" t="s">
        <v>329</v>
      </c>
      <c r="C139" s="21" t="s">
        <v>1684</v>
      </c>
      <c r="D139" s="21" t="s">
        <v>1812</v>
      </c>
      <c r="E139" s="21" t="s">
        <v>279</v>
      </c>
      <c r="F139" s="21" t="s">
        <v>259</v>
      </c>
      <c r="G139" s="43" t="s">
        <v>99</v>
      </c>
      <c r="H139" s="43" t="s">
        <v>92</v>
      </c>
      <c r="I139" s="43">
        <v>5</v>
      </c>
      <c r="J139" s="43">
        <v>2102</v>
      </c>
      <c r="K139" s="43">
        <v>0</v>
      </c>
      <c r="L139" s="44">
        <v>45500</v>
      </c>
      <c r="M139" s="43" t="s">
        <v>43</v>
      </c>
      <c r="N139" s="43" t="s">
        <v>25</v>
      </c>
      <c r="O139" s="43" t="s">
        <v>174</v>
      </c>
      <c r="P139" s="43">
        <v>2</v>
      </c>
      <c r="Q139" s="45">
        <v>10510</v>
      </c>
      <c r="R139" s="45">
        <v>0</v>
      </c>
      <c r="S139" s="45">
        <v>10510</v>
      </c>
    </row>
    <row r="140" spans="1:19" x14ac:dyDescent="0.3">
      <c r="A140" s="21">
        <v>10139</v>
      </c>
      <c r="B140" s="21" t="s">
        <v>1627</v>
      </c>
      <c r="C140" s="21" t="s">
        <v>1772</v>
      </c>
      <c r="D140" s="21">
        <v>9273647152</v>
      </c>
      <c r="E140" s="21" t="s">
        <v>74</v>
      </c>
      <c r="F140" s="21" t="s">
        <v>75</v>
      </c>
      <c r="G140" s="43" t="s">
        <v>231</v>
      </c>
      <c r="H140" s="43" t="s">
        <v>83</v>
      </c>
      <c r="I140" s="43">
        <v>3</v>
      </c>
      <c r="J140" s="43">
        <v>3737</v>
      </c>
      <c r="K140" s="43">
        <v>20</v>
      </c>
      <c r="L140" s="44">
        <v>45560</v>
      </c>
      <c r="M140" s="43" t="s">
        <v>24</v>
      </c>
      <c r="N140" s="43" t="s">
        <v>25</v>
      </c>
      <c r="O140" s="43" t="s">
        <v>53</v>
      </c>
      <c r="P140" s="43">
        <v>5</v>
      </c>
      <c r="Q140" s="45">
        <v>11211</v>
      </c>
      <c r="R140" s="45">
        <v>2242.1999999999998</v>
      </c>
      <c r="S140" s="45">
        <v>8968.7999999999993</v>
      </c>
    </row>
    <row r="141" spans="1:19" x14ac:dyDescent="0.3">
      <c r="A141" s="21">
        <v>10140</v>
      </c>
      <c r="B141" s="21" t="s">
        <v>414</v>
      </c>
      <c r="C141" s="21" t="s">
        <v>415</v>
      </c>
      <c r="D141" s="21">
        <v>9482339227</v>
      </c>
      <c r="E141" s="21" t="s">
        <v>57</v>
      </c>
      <c r="F141" s="21" t="s">
        <v>50</v>
      </c>
      <c r="G141" s="43" t="s">
        <v>21</v>
      </c>
      <c r="H141" s="43" t="s">
        <v>22</v>
      </c>
      <c r="I141" s="43">
        <v>5</v>
      </c>
      <c r="J141" s="43">
        <v>407</v>
      </c>
      <c r="K141" s="43">
        <v>10</v>
      </c>
      <c r="L141" s="44">
        <v>45391</v>
      </c>
      <c r="M141" s="43" t="s">
        <v>1646</v>
      </c>
      <c r="N141" s="43" t="s">
        <v>25</v>
      </c>
      <c r="O141" s="43" t="s">
        <v>34</v>
      </c>
      <c r="P141" s="43">
        <v>4</v>
      </c>
      <c r="Q141" s="45">
        <v>2035</v>
      </c>
      <c r="R141" s="45">
        <v>203.5</v>
      </c>
      <c r="S141" s="45">
        <v>1831.5</v>
      </c>
    </row>
    <row r="142" spans="1:19" x14ac:dyDescent="0.3">
      <c r="A142" s="21">
        <v>10141</v>
      </c>
      <c r="B142" s="21" t="s">
        <v>716</v>
      </c>
      <c r="C142" s="21" t="s">
        <v>1667</v>
      </c>
      <c r="D142" s="21">
        <v>9254087473</v>
      </c>
      <c r="E142" s="21" t="s">
        <v>74</v>
      </c>
      <c r="F142" s="21" t="s">
        <v>75</v>
      </c>
      <c r="G142" s="43" t="s">
        <v>99</v>
      </c>
      <c r="H142" s="43" t="s">
        <v>92</v>
      </c>
      <c r="I142" s="43">
        <v>1</v>
      </c>
      <c r="J142" s="43">
        <v>2550</v>
      </c>
      <c r="K142" s="43">
        <v>20</v>
      </c>
      <c r="L142" s="44">
        <v>45617</v>
      </c>
      <c r="M142" s="43" t="s">
        <v>24</v>
      </c>
      <c r="N142" s="43" t="s">
        <v>25</v>
      </c>
      <c r="O142" s="43" t="s">
        <v>71</v>
      </c>
      <c r="P142" s="43" t="s">
        <v>1813</v>
      </c>
      <c r="Q142" s="45">
        <v>2550</v>
      </c>
      <c r="R142" s="45">
        <v>510</v>
      </c>
      <c r="S142" s="45">
        <v>2040</v>
      </c>
    </row>
    <row r="143" spans="1:19" x14ac:dyDescent="0.3">
      <c r="A143" s="21">
        <v>10142</v>
      </c>
      <c r="B143" s="21" t="s">
        <v>163</v>
      </c>
      <c r="C143" s="21" t="s">
        <v>1658</v>
      </c>
      <c r="D143" s="21">
        <v>9462690716</v>
      </c>
      <c r="E143" s="21" t="s">
        <v>391</v>
      </c>
      <c r="F143" s="21" t="s">
        <v>90</v>
      </c>
      <c r="G143" s="43" t="s">
        <v>151</v>
      </c>
      <c r="H143" s="43" t="s">
        <v>143</v>
      </c>
      <c r="I143" s="43">
        <v>1</v>
      </c>
      <c r="J143" s="43">
        <v>585</v>
      </c>
      <c r="K143" s="43">
        <v>10</v>
      </c>
      <c r="L143" s="44">
        <v>45340</v>
      </c>
      <c r="M143" s="43" t="s">
        <v>1646</v>
      </c>
      <c r="N143" s="43" t="s">
        <v>25</v>
      </c>
      <c r="O143" s="43" t="s">
        <v>1641</v>
      </c>
      <c r="P143" s="43">
        <v>2</v>
      </c>
      <c r="Q143" s="45">
        <v>585</v>
      </c>
      <c r="R143" s="45">
        <v>58.5</v>
      </c>
      <c r="S143" s="45">
        <v>526.5</v>
      </c>
    </row>
    <row r="144" spans="1:19" x14ac:dyDescent="0.3">
      <c r="A144" s="21">
        <v>10143</v>
      </c>
      <c r="B144" s="21" t="s">
        <v>1043</v>
      </c>
      <c r="C144" s="21" t="s">
        <v>1741</v>
      </c>
      <c r="D144" s="21">
        <v>9399194754</v>
      </c>
      <c r="E144" s="21" t="s">
        <v>197</v>
      </c>
      <c r="F144" s="21" t="s">
        <v>191</v>
      </c>
      <c r="G144" s="43" t="s">
        <v>106</v>
      </c>
      <c r="H144" s="43" t="s">
        <v>83</v>
      </c>
      <c r="I144" s="43">
        <v>5</v>
      </c>
      <c r="J144" s="43">
        <v>13971</v>
      </c>
      <c r="K144" s="43">
        <v>0</v>
      </c>
      <c r="L144" s="44">
        <v>45451</v>
      </c>
      <c r="M144" s="43" t="s">
        <v>24</v>
      </c>
      <c r="N144" s="43" t="s">
        <v>25</v>
      </c>
      <c r="O144" s="43" t="s">
        <v>71</v>
      </c>
      <c r="P144" s="43">
        <v>1</v>
      </c>
      <c r="Q144" s="45">
        <v>69855</v>
      </c>
      <c r="R144" s="45">
        <v>0</v>
      </c>
      <c r="S144" s="45">
        <v>69855</v>
      </c>
    </row>
    <row r="145" spans="1:19" x14ac:dyDescent="0.3">
      <c r="A145" s="21">
        <v>10144</v>
      </c>
      <c r="B145" s="21" t="s">
        <v>255</v>
      </c>
      <c r="C145" s="21" t="s">
        <v>1674</v>
      </c>
      <c r="D145" s="21">
        <v>9998605466</v>
      </c>
      <c r="E145" s="21" t="s">
        <v>391</v>
      </c>
      <c r="F145" s="21" t="s">
        <v>90</v>
      </c>
      <c r="G145" s="43" t="s">
        <v>411</v>
      </c>
      <c r="H145" s="43" t="s">
        <v>83</v>
      </c>
      <c r="I145" s="43">
        <v>4</v>
      </c>
      <c r="J145" s="43">
        <v>64226</v>
      </c>
      <c r="K145" s="43">
        <v>5</v>
      </c>
      <c r="L145" s="44">
        <v>45367</v>
      </c>
      <c r="M145" s="43" t="s">
        <v>24</v>
      </c>
      <c r="N145" s="43" t="s">
        <v>119</v>
      </c>
      <c r="O145" s="43" t="s">
        <v>174</v>
      </c>
      <c r="P145" s="43">
        <v>1</v>
      </c>
      <c r="Q145" s="45">
        <v>256904</v>
      </c>
      <c r="R145" s="45">
        <v>12845.2</v>
      </c>
      <c r="S145" s="45">
        <v>244058.8</v>
      </c>
    </row>
    <row r="146" spans="1:19" x14ac:dyDescent="0.3">
      <c r="A146" s="21">
        <v>10145</v>
      </c>
      <c r="B146" s="21" t="s">
        <v>499</v>
      </c>
      <c r="C146" s="21" t="s">
        <v>1652</v>
      </c>
      <c r="D146" s="21">
        <v>9948902661</v>
      </c>
      <c r="E146" s="21" t="s">
        <v>391</v>
      </c>
      <c r="F146" s="21" t="s">
        <v>90</v>
      </c>
      <c r="G146" s="43" t="s">
        <v>280</v>
      </c>
      <c r="H146" s="43" t="s">
        <v>41</v>
      </c>
      <c r="I146" s="43">
        <v>4</v>
      </c>
      <c r="J146" s="43">
        <v>132</v>
      </c>
      <c r="K146" s="43">
        <v>20</v>
      </c>
      <c r="L146" s="44">
        <v>45621</v>
      </c>
      <c r="M146" s="43" t="s">
        <v>1649</v>
      </c>
      <c r="N146" s="43" t="s">
        <v>25</v>
      </c>
      <c r="O146" s="43" t="s">
        <v>71</v>
      </c>
      <c r="P146" s="43" t="s">
        <v>1813</v>
      </c>
      <c r="Q146" s="45">
        <v>528</v>
      </c>
      <c r="R146" s="45">
        <v>105.6</v>
      </c>
      <c r="S146" s="45">
        <v>422.4</v>
      </c>
    </row>
    <row r="147" spans="1:19" x14ac:dyDescent="0.3">
      <c r="A147" s="21">
        <v>10146</v>
      </c>
      <c r="B147" s="21" t="s">
        <v>1719</v>
      </c>
      <c r="C147" s="21" t="s">
        <v>1720</v>
      </c>
      <c r="D147" s="21">
        <v>9648189996</v>
      </c>
      <c r="E147" s="21" t="s">
        <v>111</v>
      </c>
      <c r="F147" s="21" t="s">
        <v>111</v>
      </c>
      <c r="G147" s="43" t="s">
        <v>280</v>
      </c>
      <c r="H147" s="43" t="s">
        <v>41</v>
      </c>
      <c r="I147" s="43">
        <v>2</v>
      </c>
      <c r="J147" s="43">
        <v>79</v>
      </c>
      <c r="K147" s="43">
        <v>10</v>
      </c>
      <c r="L147" s="44">
        <v>45358</v>
      </c>
      <c r="M147" s="43" t="s">
        <v>43</v>
      </c>
      <c r="N147" s="43" t="s">
        <v>25</v>
      </c>
      <c r="O147" s="43" t="s">
        <v>71</v>
      </c>
      <c r="P147" s="43">
        <v>2</v>
      </c>
      <c r="Q147" s="45">
        <v>158</v>
      </c>
      <c r="R147" s="45">
        <v>15.8</v>
      </c>
      <c r="S147" s="45">
        <v>142.19999999999999</v>
      </c>
    </row>
    <row r="148" spans="1:19" x14ac:dyDescent="0.3">
      <c r="A148" s="21">
        <v>10147</v>
      </c>
      <c r="B148" s="21" t="s">
        <v>1697</v>
      </c>
      <c r="C148" s="21" t="s">
        <v>1698</v>
      </c>
      <c r="D148" s="21" t="s">
        <v>1812</v>
      </c>
      <c r="E148" s="21" t="s">
        <v>38</v>
      </c>
      <c r="F148" s="21" t="s">
        <v>429</v>
      </c>
      <c r="G148" s="43" t="s">
        <v>368</v>
      </c>
      <c r="H148" s="43" t="s">
        <v>22</v>
      </c>
      <c r="I148" s="43">
        <v>3</v>
      </c>
      <c r="J148" s="43">
        <v>1841</v>
      </c>
      <c r="K148" s="43">
        <v>5</v>
      </c>
      <c r="L148" s="44">
        <v>45423</v>
      </c>
      <c r="M148" s="43" t="s">
        <v>69</v>
      </c>
      <c r="N148" s="43" t="s">
        <v>25</v>
      </c>
      <c r="O148" s="43" t="s">
        <v>174</v>
      </c>
      <c r="P148" s="43">
        <v>1</v>
      </c>
      <c r="Q148" s="45">
        <v>5523</v>
      </c>
      <c r="R148" s="45">
        <v>276.14999999999998</v>
      </c>
      <c r="S148" s="45">
        <v>5246.85</v>
      </c>
    </row>
    <row r="149" spans="1:19" x14ac:dyDescent="0.3">
      <c r="A149" s="21">
        <v>10148</v>
      </c>
      <c r="B149" s="21" t="s">
        <v>1222</v>
      </c>
      <c r="C149" s="21" t="s">
        <v>1718</v>
      </c>
      <c r="D149" s="21" t="s">
        <v>1812</v>
      </c>
      <c r="E149" s="21" t="s">
        <v>371</v>
      </c>
      <c r="F149" s="21" t="s">
        <v>98</v>
      </c>
      <c r="G149" s="43" t="s">
        <v>155</v>
      </c>
      <c r="H149" s="43" t="s">
        <v>92</v>
      </c>
      <c r="I149" s="43">
        <v>4</v>
      </c>
      <c r="J149" s="43">
        <v>1355</v>
      </c>
      <c r="K149" s="43">
        <v>10</v>
      </c>
      <c r="L149" s="44">
        <v>45621</v>
      </c>
      <c r="M149" s="43" t="s">
        <v>24</v>
      </c>
      <c r="N149" s="43" t="s">
        <v>25</v>
      </c>
      <c r="O149" s="43" t="s">
        <v>34</v>
      </c>
      <c r="P149" s="43">
        <v>3</v>
      </c>
      <c r="Q149" s="45">
        <v>5420</v>
      </c>
      <c r="R149" s="45">
        <v>542</v>
      </c>
      <c r="S149" s="45">
        <v>4878</v>
      </c>
    </row>
    <row r="150" spans="1:19" x14ac:dyDescent="0.3">
      <c r="A150" s="21">
        <v>10149</v>
      </c>
      <c r="B150" s="21" t="s">
        <v>1083</v>
      </c>
      <c r="C150" s="21" t="s">
        <v>729</v>
      </c>
      <c r="D150" s="21">
        <v>9261387238</v>
      </c>
      <c r="E150" s="21" t="s">
        <v>57</v>
      </c>
      <c r="F150" s="21" t="s">
        <v>50</v>
      </c>
      <c r="G150" s="43" t="s">
        <v>21</v>
      </c>
      <c r="H150" s="43" t="s">
        <v>22</v>
      </c>
      <c r="I150" s="43">
        <v>2</v>
      </c>
      <c r="J150" s="43">
        <v>1199</v>
      </c>
      <c r="K150" s="43">
        <v>15</v>
      </c>
      <c r="L150" s="44">
        <v>45605</v>
      </c>
      <c r="M150" s="43" t="s">
        <v>1646</v>
      </c>
      <c r="N150" s="43" t="s">
        <v>456</v>
      </c>
      <c r="O150" s="43" t="s">
        <v>34</v>
      </c>
      <c r="P150" s="43" t="s">
        <v>1813</v>
      </c>
      <c r="Q150" s="45">
        <v>2398</v>
      </c>
      <c r="R150" s="45">
        <v>359.7</v>
      </c>
      <c r="S150" s="45">
        <v>2038.3</v>
      </c>
    </row>
    <row r="151" spans="1:19" x14ac:dyDescent="0.3">
      <c r="A151" s="21">
        <v>10150</v>
      </c>
      <c r="B151" s="21" t="s">
        <v>722</v>
      </c>
      <c r="C151" s="21" t="s">
        <v>458</v>
      </c>
      <c r="D151" s="21">
        <v>9256935296</v>
      </c>
      <c r="E151" s="21" t="s">
        <v>343</v>
      </c>
      <c r="F151" s="21" t="s">
        <v>50</v>
      </c>
      <c r="G151" s="43" t="s">
        <v>231</v>
      </c>
      <c r="H151" s="43" t="s">
        <v>83</v>
      </c>
      <c r="I151" s="43">
        <v>5</v>
      </c>
      <c r="J151" s="43">
        <v>3779</v>
      </c>
      <c r="K151" s="43">
        <v>0</v>
      </c>
      <c r="L151" s="44">
        <v>45601</v>
      </c>
      <c r="M151" s="43" t="s">
        <v>69</v>
      </c>
      <c r="N151" s="43" t="s">
        <v>25</v>
      </c>
      <c r="O151" s="43" t="s">
        <v>34</v>
      </c>
      <c r="P151" s="43">
        <v>4</v>
      </c>
      <c r="Q151" s="45">
        <v>18895</v>
      </c>
      <c r="R151" s="45">
        <v>0</v>
      </c>
      <c r="S151" s="45">
        <v>18895</v>
      </c>
    </row>
    <row r="152" spans="1:19" x14ac:dyDescent="0.3">
      <c r="A152" s="21">
        <v>10151</v>
      </c>
      <c r="B152" s="21" t="s">
        <v>1581</v>
      </c>
      <c r="C152" s="21" t="s">
        <v>1710</v>
      </c>
      <c r="D152" s="21">
        <v>9933418356</v>
      </c>
      <c r="E152" s="21" t="s">
        <v>343</v>
      </c>
      <c r="F152" s="21" t="s">
        <v>50</v>
      </c>
      <c r="G152" s="43" t="s">
        <v>280</v>
      </c>
      <c r="H152" s="43" t="s">
        <v>41</v>
      </c>
      <c r="I152" s="43">
        <v>4</v>
      </c>
      <c r="J152" s="43">
        <v>108</v>
      </c>
      <c r="K152" s="43">
        <v>20</v>
      </c>
      <c r="L152" s="44">
        <v>45460</v>
      </c>
      <c r="M152" s="43" t="s">
        <v>69</v>
      </c>
      <c r="N152" s="43" t="s">
        <v>25</v>
      </c>
      <c r="O152" s="43" t="s">
        <v>174</v>
      </c>
      <c r="P152" s="43">
        <v>5</v>
      </c>
      <c r="Q152" s="45">
        <v>432</v>
      </c>
      <c r="R152" s="45">
        <v>86.4</v>
      </c>
      <c r="S152" s="45">
        <v>345.6</v>
      </c>
    </row>
    <row r="153" spans="1:19" x14ac:dyDescent="0.3">
      <c r="A153" s="21">
        <v>10152</v>
      </c>
      <c r="B153" s="21" t="s">
        <v>314</v>
      </c>
      <c r="C153" s="21" t="s">
        <v>1682</v>
      </c>
      <c r="D153" s="21">
        <v>9963034674</v>
      </c>
      <c r="E153" s="21" t="s">
        <v>273</v>
      </c>
      <c r="F153" s="21" t="s">
        <v>50</v>
      </c>
      <c r="G153" s="43" t="s">
        <v>280</v>
      </c>
      <c r="H153" s="43" t="s">
        <v>41</v>
      </c>
      <c r="I153" s="43">
        <v>2</v>
      </c>
      <c r="J153" s="43">
        <v>186</v>
      </c>
      <c r="K153" s="43">
        <v>15</v>
      </c>
      <c r="L153" s="44">
        <v>45560</v>
      </c>
      <c r="M153" s="43" t="s">
        <v>24</v>
      </c>
      <c r="N153" s="43" t="s">
        <v>25</v>
      </c>
      <c r="O153" s="43" t="s">
        <v>174</v>
      </c>
      <c r="P153" s="43" t="s">
        <v>1813</v>
      </c>
      <c r="Q153" s="45">
        <v>372</v>
      </c>
      <c r="R153" s="45">
        <v>55.8</v>
      </c>
      <c r="S153" s="45">
        <v>316.2</v>
      </c>
    </row>
    <row r="154" spans="1:19" x14ac:dyDescent="0.3">
      <c r="A154" s="21">
        <v>10153</v>
      </c>
      <c r="B154" s="21" t="s">
        <v>901</v>
      </c>
      <c r="C154" s="21" t="s">
        <v>1764</v>
      </c>
      <c r="D154" s="21">
        <v>9314618246</v>
      </c>
      <c r="E154" s="21" t="s">
        <v>197</v>
      </c>
      <c r="F154" s="21" t="s">
        <v>191</v>
      </c>
      <c r="G154" s="43" t="s">
        <v>99</v>
      </c>
      <c r="H154" s="43" t="s">
        <v>92</v>
      </c>
      <c r="I154" s="43">
        <v>3</v>
      </c>
      <c r="J154" s="43">
        <v>2221</v>
      </c>
      <c r="K154" s="43">
        <v>5</v>
      </c>
      <c r="L154" s="44">
        <v>45440</v>
      </c>
      <c r="M154" s="43" t="s">
        <v>1649</v>
      </c>
      <c r="N154" s="43" t="s">
        <v>25</v>
      </c>
      <c r="O154" s="43" t="s">
        <v>71</v>
      </c>
      <c r="P154" s="43" t="s">
        <v>1813</v>
      </c>
      <c r="Q154" s="45">
        <v>6663</v>
      </c>
      <c r="R154" s="45">
        <v>333.15</v>
      </c>
      <c r="S154" s="45">
        <v>6329.85</v>
      </c>
    </row>
    <row r="155" spans="1:19" x14ac:dyDescent="0.3">
      <c r="A155" s="21">
        <v>10154</v>
      </c>
      <c r="B155" s="21" t="s">
        <v>1742</v>
      </c>
      <c r="C155" s="21" t="s">
        <v>1743</v>
      </c>
      <c r="D155" s="21">
        <v>9215708870</v>
      </c>
      <c r="E155" s="21" t="s">
        <v>391</v>
      </c>
      <c r="F155" s="21" t="s">
        <v>90</v>
      </c>
      <c r="G155" s="43" t="s">
        <v>179</v>
      </c>
      <c r="H155" s="43" t="s">
        <v>60</v>
      </c>
      <c r="I155" s="43">
        <v>5</v>
      </c>
      <c r="J155" s="43">
        <v>597</v>
      </c>
      <c r="K155" s="43">
        <v>5</v>
      </c>
      <c r="L155" s="44">
        <v>45646</v>
      </c>
      <c r="M155" s="43" t="s">
        <v>43</v>
      </c>
      <c r="N155" s="43" t="s">
        <v>25</v>
      </c>
      <c r="O155" s="43" t="s">
        <v>45</v>
      </c>
      <c r="P155" s="43">
        <v>5</v>
      </c>
      <c r="Q155" s="45">
        <v>2985</v>
      </c>
      <c r="R155" s="45">
        <v>149.25</v>
      </c>
      <c r="S155" s="45">
        <v>2835.75</v>
      </c>
    </row>
    <row r="156" spans="1:19" x14ac:dyDescent="0.3">
      <c r="A156" s="21">
        <v>10155</v>
      </c>
      <c r="B156" s="21" t="s">
        <v>1490</v>
      </c>
      <c r="C156" s="21" t="s">
        <v>1645</v>
      </c>
      <c r="D156" s="21">
        <v>9688902628</v>
      </c>
      <c r="E156" s="21" t="s">
        <v>371</v>
      </c>
      <c r="F156" s="21" t="s">
        <v>98</v>
      </c>
      <c r="G156" s="43" t="s">
        <v>204</v>
      </c>
      <c r="H156" s="43" t="s">
        <v>143</v>
      </c>
      <c r="I156" s="43">
        <v>3</v>
      </c>
      <c r="J156" s="43">
        <v>320</v>
      </c>
      <c r="K156" s="43">
        <v>0</v>
      </c>
      <c r="L156" s="44">
        <v>45629</v>
      </c>
      <c r="M156" s="43" t="s">
        <v>1649</v>
      </c>
      <c r="N156" s="43" t="s">
        <v>25</v>
      </c>
      <c r="O156" s="43" t="s">
        <v>1641</v>
      </c>
      <c r="P156" s="43">
        <v>2</v>
      </c>
      <c r="Q156" s="45">
        <v>960</v>
      </c>
      <c r="R156" s="45">
        <v>0</v>
      </c>
      <c r="S156" s="45">
        <v>960</v>
      </c>
    </row>
    <row r="157" spans="1:19" x14ac:dyDescent="0.3">
      <c r="A157" s="21">
        <v>10156</v>
      </c>
      <c r="B157" s="21" t="s">
        <v>414</v>
      </c>
      <c r="C157" s="21" t="s">
        <v>1696</v>
      </c>
      <c r="D157" s="21">
        <v>9892349162</v>
      </c>
      <c r="E157" s="21" t="s">
        <v>371</v>
      </c>
      <c r="F157" s="21" t="s">
        <v>98</v>
      </c>
      <c r="G157" s="43" t="s">
        <v>112</v>
      </c>
      <c r="H157" s="43" t="s">
        <v>83</v>
      </c>
      <c r="I157" s="43">
        <v>5</v>
      </c>
      <c r="J157" s="43">
        <v>32423</v>
      </c>
      <c r="K157" s="43">
        <v>5</v>
      </c>
      <c r="L157" s="44">
        <v>45429</v>
      </c>
      <c r="M157" s="43" t="s">
        <v>1646</v>
      </c>
      <c r="N157" s="43" t="s">
        <v>25</v>
      </c>
      <c r="O157" s="43" t="s">
        <v>174</v>
      </c>
      <c r="P157" s="43">
        <v>2</v>
      </c>
      <c r="Q157" s="45">
        <v>162115</v>
      </c>
      <c r="R157" s="45">
        <v>8105.75</v>
      </c>
      <c r="S157" s="45">
        <v>154009.25</v>
      </c>
    </row>
    <row r="158" spans="1:19" x14ac:dyDescent="0.3">
      <c r="A158" s="21">
        <v>10157</v>
      </c>
      <c r="B158" s="21" t="s">
        <v>1133</v>
      </c>
      <c r="C158" s="21" t="s">
        <v>1134</v>
      </c>
      <c r="D158" s="21">
        <v>9965406941</v>
      </c>
      <c r="E158" s="21" t="s">
        <v>391</v>
      </c>
      <c r="F158" s="21" t="s">
        <v>90</v>
      </c>
      <c r="G158" s="43" t="s">
        <v>161</v>
      </c>
      <c r="H158" s="43" t="s">
        <v>83</v>
      </c>
      <c r="I158" s="43">
        <v>1</v>
      </c>
      <c r="J158" s="43">
        <v>21513</v>
      </c>
      <c r="K158" s="43">
        <v>20</v>
      </c>
      <c r="L158" s="44">
        <v>45404</v>
      </c>
      <c r="M158" s="43" t="s">
        <v>1646</v>
      </c>
      <c r="N158" s="43" t="s">
        <v>25</v>
      </c>
      <c r="O158" s="43" t="s">
        <v>174</v>
      </c>
      <c r="P158" s="43">
        <v>1</v>
      </c>
      <c r="Q158" s="45">
        <v>21513</v>
      </c>
      <c r="R158" s="45">
        <v>4302.6000000000004</v>
      </c>
      <c r="S158" s="45">
        <v>17210.400000000001</v>
      </c>
    </row>
    <row r="159" spans="1:19" x14ac:dyDescent="0.3">
      <c r="A159" s="21">
        <v>10158</v>
      </c>
      <c r="B159" s="21" t="s">
        <v>1133</v>
      </c>
      <c r="C159" s="21" t="s">
        <v>1645</v>
      </c>
      <c r="D159" s="21">
        <v>9139390330</v>
      </c>
      <c r="E159" s="21" t="s">
        <v>197</v>
      </c>
      <c r="F159" s="21" t="s">
        <v>191</v>
      </c>
      <c r="G159" s="43" t="s">
        <v>411</v>
      </c>
      <c r="H159" s="43" t="s">
        <v>83</v>
      </c>
      <c r="I159" s="43">
        <v>3</v>
      </c>
      <c r="J159" s="43">
        <v>54003</v>
      </c>
      <c r="K159" s="43">
        <v>0</v>
      </c>
      <c r="L159" s="44">
        <v>45412</v>
      </c>
      <c r="M159" s="43" t="s">
        <v>1646</v>
      </c>
      <c r="N159" s="43" t="s">
        <v>119</v>
      </c>
      <c r="O159" s="43" t="s">
        <v>45</v>
      </c>
      <c r="P159" s="43">
        <v>4</v>
      </c>
      <c r="Q159" s="45">
        <v>162009</v>
      </c>
      <c r="R159" s="45">
        <v>0</v>
      </c>
      <c r="S159" s="45">
        <v>162009</v>
      </c>
    </row>
    <row r="160" spans="1:19" x14ac:dyDescent="0.3">
      <c r="A160" s="21">
        <v>10159</v>
      </c>
      <c r="B160" s="21" t="s">
        <v>795</v>
      </c>
      <c r="C160" s="21" t="s">
        <v>1665</v>
      </c>
      <c r="D160" s="21">
        <v>9365791233</v>
      </c>
      <c r="E160" s="21" t="s">
        <v>273</v>
      </c>
      <c r="F160" s="21" t="s">
        <v>50</v>
      </c>
      <c r="G160" s="43" t="s">
        <v>198</v>
      </c>
      <c r="H160" s="43" t="s">
        <v>41</v>
      </c>
      <c r="I160" s="43">
        <v>3</v>
      </c>
      <c r="J160" s="43">
        <v>233</v>
      </c>
      <c r="K160" s="43">
        <v>0</v>
      </c>
      <c r="L160" s="44">
        <v>45309</v>
      </c>
      <c r="M160" s="43" t="s">
        <v>1646</v>
      </c>
      <c r="N160" s="43" t="s">
        <v>25</v>
      </c>
      <c r="O160" s="43" t="s">
        <v>34</v>
      </c>
      <c r="P160" s="43">
        <v>4</v>
      </c>
      <c r="Q160" s="45">
        <v>699</v>
      </c>
      <c r="R160" s="45">
        <v>0</v>
      </c>
      <c r="S160" s="45">
        <v>699</v>
      </c>
    </row>
    <row r="161" spans="1:19" x14ac:dyDescent="0.3">
      <c r="A161" s="21">
        <v>10160</v>
      </c>
      <c r="B161" s="21" t="s">
        <v>1655</v>
      </c>
      <c r="C161" s="21" t="s">
        <v>1656</v>
      </c>
      <c r="D161" s="21">
        <v>9456646880</v>
      </c>
      <c r="E161" s="21" t="s">
        <v>172</v>
      </c>
      <c r="F161" s="21" t="s">
        <v>150</v>
      </c>
      <c r="G161" s="43" t="s">
        <v>151</v>
      </c>
      <c r="H161" s="43" t="s">
        <v>143</v>
      </c>
      <c r="I161" s="43">
        <v>5</v>
      </c>
      <c r="J161" s="43">
        <v>605</v>
      </c>
      <c r="K161" s="43">
        <v>5</v>
      </c>
      <c r="L161" s="44">
        <v>45302</v>
      </c>
      <c r="M161" s="43" t="s">
        <v>24</v>
      </c>
      <c r="N161" s="43" t="s">
        <v>25</v>
      </c>
      <c r="O161" s="43" t="s">
        <v>34</v>
      </c>
      <c r="P161" s="43">
        <v>5</v>
      </c>
      <c r="Q161" s="45">
        <v>3025</v>
      </c>
      <c r="R161" s="45">
        <v>151.25</v>
      </c>
      <c r="S161" s="45">
        <v>2873.75</v>
      </c>
    </row>
    <row r="162" spans="1:19" x14ac:dyDescent="0.3">
      <c r="A162" s="21">
        <v>10161</v>
      </c>
      <c r="B162" s="21" t="s">
        <v>538</v>
      </c>
      <c r="C162" s="21" t="s">
        <v>1699</v>
      </c>
      <c r="D162" s="21">
        <v>9116077649</v>
      </c>
      <c r="E162" s="21" t="s">
        <v>219</v>
      </c>
      <c r="F162" s="21" t="s">
        <v>150</v>
      </c>
      <c r="G162" s="43" t="s">
        <v>226</v>
      </c>
      <c r="H162" s="43" t="s">
        <v>22</v>
      </c>
      <c r="I162" s="43">
        <v>4</v>
      </c>
      <c r="J162" s="43">
        <v>641</v>
      </c>
      <c r="K162" s="43">
        <v>10</v>
      </c>
      <c r="L162" s="44">
        <v>45511</v>
      </c>
      <c r="M162" s="43" t="s">
        <v>24</v>
      </c>
      <c r="N162" s="43" t="s">
        <v>25</v>
      </c>
      <c r="O162" s="43" t="s">
        <v>1641</v>
      </c>
      <c r="P162" s="43">
        <v>1</v>
      </c>
      <c r="Q162" s="45">
        <v>2564</v>
      </c>
      <c r="R162" s="45">
        <v>256.39999999999998</v>
      </c>
      <c r="S162" s="45">
        <v>2307.6</v>
      </c>
    </row>
    <row r="163" spans="1:19" x14ac:dyDescent="0.3">
      <c r="A163" s="21">
        <v>10162</v>
      </c>
      <c r="B163" s="21" t="s">
        <v>499</v>
      </c>
      <c r="C163" s="21" t="s">
        <v>1652</v>
      </c>
      <c r="D163" s="21">
        <v>9136442363</v>
      </c>
      <c r="E163" s="21" t="s">
        <v>343</v>
      </c>
      <c r="F163" s="21" t="s">
        <v>50</v>
      </c>
      <c r="G163" s="43" t="s">
        <v>21</v>
      </c>
      <c r="H163" s="43" t="s">
        <v>22</v>
      </c>
      <c r="I163" s="43">
        <v>2</v>
      </c>
      <c r="J163" s="43">
        <v>1419</v>
      </c>
      <c r="K163" s="43">
        <v>20</v>
      </c>
      <c r="L163" s="44">
        <v>45475</v>
      </c>
      <c r="M163" s="43" t="s">
        <v>69</v>
      </c>
      <c r="N163" s="43" t="s">
        <v>25</v>
      </c>
      <c r="O163" s="43" t="s">
        <v>53</v>
      </c>
      <c r="P163" s="43" t="s">
        <v>1813</v>
      </c>
      <c r="Q163" s="45">
        <v>2838</v>
      </c>
      <c r="R163" s="45">
        <v>567.6</v>
      </c>
      <c r="S163" s="45">
        <v>2270.4</v>
      </c>
    </row>
    <row r="164" spans="1:19" x14ac:dyDescent="0.3">
      <c r="A164" s="21">
        <v>10163</v>
      </c>
      <c r="B164" s="21" t="s">
        <v>1167</v>
      </c>
      <c r="C164" s="21" t="s">
        <v>1675</v>
      </c>
      <c r="D164" s="21">
        <v>9123642970</v>
      </c>
      <c r="E164" s="21" t="s">
        <v>371</v>
      </c>
      <c r="F164" s="21" t="s">
        <v>98</v>
      </c>
      <c r="G164" s="43" t="s">
        <v>161</v>
      </c>
      <c r="H164" s="43" t="s">
        <v>83</v>
      </c>
      <c r="I164" s="43">
        <v>5</v>
      </c>
      <c r="J164" s="43">
        <v>22138</v>
      </c>
      <c r="K164" s="43">
        <v>10</v>
      </c>
      <c r="L164" s="44">
        <v>45608</v>
      </c>
      <c r="M164" s="43" t="s">
        <v>1646</v>
      </c>
      <c r="N164" s="43" t="s">
        <v>25</v>
      </c>
      <c r="O164" s="43" t="s">
        <v>174</v>
      </c>
      <c r="P164" s="43">
        <v>4</v>
      </c>
      <c r="Q164" s="45">
        <v>110690</v>
      </c>
      <c r="R164" s="45">
        <v>11069</v>
      </c>
      <c r="S164" s="45">
        <v>99621</v>
      </c>
    </row>
    <row r="165" spans="1:19" x14ac:dyDescent="0.3">
      <c r="A165" s="21">
        <v>10164</v>
      </c>
      <c r="B165" s="21" t="s">
        <v>300</v>
      </c>
      <c r="C165" s="21" t="s">
        <v>1679</v>
      </c>
      <c r="D165" s="21">
        <v>9826885275</v>
      </c>
      <c r="E165" s="21" t="s">
        <v>172</v>
      </c>
      <c r="F165" s="21" t="s">
        <v>150</v>
      </c>
      <c r="G165" s="43" t="s">
        <v>161</v>
      </c>
      <c r="H165" s="43" t="s">
        <v>83</v>
      </c>
      <c r="I165" s="43">
        <v>3</v>
      </c>
      <c r="J165" s="43">
        <v>16714</v>
      </c>
      <c r="K165" s="43">
        <v>20</v>
      </c>
      <c r="L165" s="44">
        <v>45599</v>
      </c>
      <c r="M165" s="43" t="s">
        <v>1649</v>
      </c>
      <c r="N165" s="43" t="s">
        <v>25</v>
      </c>
      <c r="O165" s="43" t="s">
        <v>71</v>
      </c>
      <c r="P165" s="43">
        <v>5</v>
      </c>
      <c r="Q165" s="45">
        <v>50142</v>
      </c>
      <c r="R165" s="45">
        <v>10028.4</v>
      </c>
      <c r="S165" s="45">
        <v>40113.599999999999</v>
      </c>
    </row>
    <row r="166" spans="1:19" x14ac:dyDescent="0.3">
      <c r="A166" s="21">
        <v>10165</v>
      </c>
      <c r="B166" s="21" t="s">
        <v>541</v>
      </c>
      <c r="C166" s="21" t="s">
        <v>1644</v>
      </c>
      <c r="D166" s="21">
        <v>9946247477</v>
      </c>
      <c r="E166" s="21" t="s">
        <v>38</v>
      </c>
      <c r="F166" s="21" t="s">
        <v>429</v>
      </c>
      <c r="G166" s="43" t="s">
        <v>411</v>
      </c>
      <c r="H166" s="43" t="s">
        <v>83</v>
      </c>
      <c r="I166" s="43">
        <v>3</v>
      </c>
      <c r="J166" s="43">
        <v>53435</v>
      </c>
      <c r="K166" s="43">
        <v>10</v>
      </c>
      <c r="L166" s="44">
        <v>45497</v>
      </c>
      <c r="M166" s="43" t="s">
        <v>43</v>
      </c>
      <c r="N166" s="43" t="s">
        <v>25</v>
      </c>
      <c r="O166" s="43" t="s">
        <v>1641</v>
      </c>
      <c r="P166" s="43">
        <v>3</v>
      </c>
      <c r="Q166" s="45">
        <v>160305</v>
      </c>
      <c r="R166" s="45">
        <v>16030.5</v>
      </c>
      <c r="S166" s="45">
        <v>144274.5</v>
      </c>
    </row>
    <row r="167" spans="1:19" x14ac:dyDescent="0.3">
      <c r="A167" s="21">
        <v>10166</v>
      </c>
      <c r="B167" s="21" t="s">
        <v>883</v>
      </c>
      <c r="C167" s="21" t="s">
        <v>1686</v>
      </c>
      <c r="D167" s="21">
        <v>9823107161</v>
      </c>
      <c r="E167" s="21" t="s">
        <v>57</v>
      </c>
      <c r="F167" s="21" t="s">
        <v>50</v>
      </c>
      <c r="G167" s="43" t="s">
        <v>368</v>
      </c>
      <c r="H167" s="43" t="s">
        <v>22</v>
      </c>
      <c r="I167" s="43">
        <v>5</v>
      </c>
      <c r="J167" s="43">
        <v>1643</v>
      </c>
      <c r="K167" s="43">
        <v>20</v>
      </c>
      <c r="L167" s="44">
        <v>45632</v>
      </c>
      <c r="M167" s="43" t="s">
        <v>24</v>
      </c>
      <c r="N167" s="43" t="s">
        <v>25</v>
      </c>
      <c r="O167" s="43" t="s">
        <v>71</v>
      </c>
      <c r="P167" s="43">
        <v>4</v>
      </c>
      <c r="Q167" s="45">
        <v>8215</v>
      </c>
      <c r="R167" s="45">
        <v>1643</v>
      </c>
      <c r="S167" s="45">
        <v>6572</v>
      </c>
    </row>
    <row r="168" spans="1:19" x14ac:dyDescent="0.3">
      <c r="A168" s="21">
        <v>10167</v>
      </c>
      <c r="B168" s="21" t="s">
        <v>968</v>
      </c>
      <c r="C168" s="21" t="s">
        <v>1645</v>
      </c>
      <c r="D168" s="21">
        <v>9645272108</v>
      </c>
      <c r="E168" s="21" t="s">
        <v>219</v>
      </c>
      <c r="F168" s="21" t="s">
        <v>150</v>
      </c>
      <c r="G168" s="43" t="s">
        <v>99</v>
      </c>
      <c r="H168" s="43" t="s">
        <v>92</v>
      </c>
      <c r="I168" s="43">
        <v>1</v>
      </c>
      <c r="J168" s="43">
        <v>3734</v>
      </c>
      <c r="K168" s="43">
        <v>0</v>
      </c>
      <c r="L168" s="44">
        <v>45337</v>
      </c>
      <c r="M168" s="43" t="s">
        <v>1649</v>
      </c>
      <c r="N168" s="43" t="s">
        <v>25</v>
      </c>
      <c r="O168" s="43" t="s">
        <v>71</v>
      </c>
      <c r="P168" s="43">
        <v>1</v>
      </c>
      <c r="Q168" s="45">
        <v>3734</v>
      </c>
      <c r="R168" s="45">
        <v>0</v>
      </c>
      <c r="S168" s="45">
        <v>3734</v>
      </c>
    </row>
    <row r="169" spans="1:19" x14ac:dyDescent="0.3">
      <c r="A169" s="21">
        <v>10168</v>
      </c>
      <c r="B169" s="21" t="s">
        <v>1606</v>
      </c>
      <c r="C169" s="21" t="s">
        <v>1809</v>
      </c>
      <c r="D169" s="21">
        <v>9634170262</v>
      </c>
      <c r="E169" s="21" t="s">
        <v>38</v>
      </c>
      <c r="F169" s="21" t="s">
        <v>429</v>
      </c>
      <c r="G169" s="43" t="s">
        <v>151</v>
      </c>
      <c r="H169" s="43" t="s">
        <v>143</v>
      </c>
      <c r="I169" s="43">
        <v>5</v>
      </c>
      <c r="J169" s="43">
        <v>648</v>
      </c>
      <c r="K169" s="43">
        <v>0</v>
      </c>
      <c r="L169" s="44">
        <v>45397</v>
      </c>
      <c r="M169" s="43" t="s">
        <v>1649</v>
      </c>
      <c r="N169" s="43" t="s">
        <v>25</v>
      </c>
      <c r="O169" s="43" t="s">
        <v>71</v>
      </c>
      <c r="P169" s="43">
        <v>2</v>
      </c>
      <c r="Q169" s="45">
        <v>3240</v>
      </c>
      <c r="R169" s="45">
        <v>0</v>
      </c>
      <c r="S169" s="45">
        <v>3240</v>
      </c>
    </row>
    <row r="170" spans="1:19" x14ac:dyDescent="0.3">
      <c r="A170" s="21">
        <v>10169</v>
      </c>
      <c r="B170" s="21" t="s">
        <v>329</v>
      </c>
      <c r="C170" s="21" t="s">
        <v>1684</v>
      </c>
      <c r="D170" s="21">
        <v>9961629449</v>
      </c>
      <c r="E170" s="21" t="s">
        <v>111</v>
      </c>
      <c r="F170" s="21" t="s">
        <v>111</v>
      </c>
      <c r="G170" s="43" t="s">
        <v>112</v>
      </c>
      <c r="H170" s="43" t="s">
        <v>83</v>
      </c>
      <c r="I170" s="43">
        <v>4</v>
      </c>
      <c r="J170" s="43">
        <v>14929</v>
      </c>
      <c r="K170" s="43">
        <v>0</v>
      </c>
      <c r="L170" s="44">
        <v>45406</v>
      </c>
      <c r="M170" s="43" t="s">
        <v>1649</v>
      </c>
      <c r="N170" s="43" t="s">
        <v>25</v>
      </c>
      <c r="O170" s="43" t="s">
        <v>45</v>
      </c>
      <c r="P170" s="43">
        <v>5</v>
      </c>
      <c r="Q170" s="45">
        <v>59716</v>
      </c>
      <c r="R170" s="45">
        <v>0</v>
      </c>
      <c r="S170" s="45">
        <v>59716</v>
      </c>
    </row>
    <row r="171" spans="1:19" x14ac:dyDescent="0.3">
      <c r="A171" s="21">
        <v>10170</v>
      </c>
      <c r="B171" s="21" t="s">
        <v>883</v>
      </c>
      <c r="C171" s="21" t="s">
        <v>1686</v>
      </c>
      <c r="D171" s="21">
        <v>9731078925</v>
      </c>
      <c r="E171" s="21" t="s">
        <v>343</v>
      </c>
      <c r="F171" s="21" t="s">
        <v>50</v>
      </c>
      <c r="G171" s="43" t="s">
        <v>21</v>
      </c>
      <c r="H171" s="43" t="s">
        <v>22</v>
      </c>
      <c r="I171" s="43">
        <v>5</v>
      </c>
      <c r="J171" s="43">
        <v>783</v>
      </c>
      <c r="K171" s="43">
        <v>0</v>
      </c>
      <c r="L171" s="44">
        <v>45467</v>
      </c>
      <c r="M171" s="43" t="s">
        <v>24</v>
      </c>
      <c r="N171" s="43" t="s">
        <v>119</v>
      </c>
      <c r="O171" s="43" t="s">
        <v>34</v>
      </c>
      <c r="P171" s="43" t="s">
        <v>1813</v>
      </c>
      <c r="Q171" s="45">
        <v>3915</v>
      </c>
      <c r="R171" s="45">
        <v>0</v>
      </c>
      <c r="S171" s="45">
        <v>3915</v>
      </c>
    </row>
    <row r="172" spans="1:19" x14ac:dyDescent="0.3">
      <c r="A172" s="21">
        <v>10171</v>
      </c>
      <c r="B172" s="21" t="s">
        <v>364</v>
      </c>
      <c r="C172" s="21" t="s">
        <v>1689</v>
      </c>
      <c r="D172" s="21" t="s">
        <v>1812</v>
      </c>
      <c r="E172" s="21" t="s">
        <v>279</v>
      </c>
      <c r="F172" s="21" t="s">
        <v>259</v>
      </c>
      <c r="G172" s="43" t="s">
        <v>226</v>
      </c>
      <c r="H172" s="43" t="s">
        <v>22</v>
      </c>
      <c r="I172" s="43">
        <v>2</v>
      </c>
      <c r="J172" s="43">
        <v>1245</v>
      </c>
      <c r="K172" s="43">
        <v>0</v>
      </c>
      <c r="L172" s="44">
        <v>45636</v>
      </c>
      <c r="M172" s="43" t="s">
        <v>1646</v>
      </c>
      <c r="N172" s="43" t="s">
        <v>25</v>
      </c>
      <c r="O172" s="43" t="s">
        <v>45</v>
      </c>
      <c r="P172" s="43">
        <v>3</v>
      </c>
      <c r="Q172" s="45">
        <v>2490</v>
      </c>
      <c r="R172" s="45">
        <v>0</v>
      </c>
      <c r="S172" s="45">
        <v>2490</v>
      </c>
    </row>
    <row r="173" spans="1:19" x14ac:dyDescent="0.3">
      <c r="A173" s="21">
        <v>10172</v>
      </c>
      <c r="B173" s="21" t="s">
        <v>1222</v>
      </c>
      <c r="C173" s="21" t="s">
        <v>1718</v>
      </c>
      <c r="D173" s="21">
        <v>9332553595</v>
      </c>
      <c r="E173" s="21" t="s">
        <v>343</v>
      </c>
      <c r="F173" s="21" t="s">
        <v>50</v>
      </c>
      <c r="G173" s="43" t="s">
        <v>226</v>
      </c>
      <c r="H173" s="43" t="s">
        <v>22</v>
      </c>
      <c r="I173" s="43">
        <v>4</v>
      </c>
      <c r="J173" s="43">
        <v>1795</v>
      </c>
      <c r="K173" s="43">
        <v>10</v>
      </c>
      <c r="L173" s="44">
        <v>45510</v>
      </c>
      <c r="M173" s="43" t="s">
        <v>43</v>
      </c>
      <c r="N173" s="43" t="s">
        <v>25</v>
      </c>
      <c r="O173" s="43" t="s">
        <v>34</v>
      </c>
      <c r="P173" s="43">
        <v>5</v>
      </c>
      <c r="Q173" s="45">
        <v>7180</v>
      </c>
      <c r="R173" s="45">
        <v>718</v>
      </c>
      <c r="S173" s="45">
        <v>6462</v>
      </c>
    </row>
    <row r="174" spans="1:19" x14ac:dyDescent="0.3">
      <c r="A174" s="21">
        <v>10173</v>
      </c>
      <c r="B174" s="21" t="s">
        <v>255</v>
      </c>
      <c r="C174" s="21" t="s">
        <v>1674</v>
      </c>
      <c r="D174" s="21">
        <v>9518825140</v>
      </c>
      <c r="E174" s="21" t="s">
        <v>111</v>
      </c>
      <c r="F174" s="21" t="s">
        <v>111</v>
      </c>
      <c r="G174" s="43" t="s">
        <v>411</v>
      </c>
      <c r="H174" s="43" t="s">
        <v>83</v>
      </c>
      <c r="I174" s="43">
        <v>5</v>
      </c>
      <c r="J174" s="43">
        <v>45246</v>
      </c>
      <c r="K174" s="43">
        <v>0</v>
      </c>
      <c r="L174" s="44">
        <v>45533</v>
      </c>
      <c r="M174" s="43" t="s">
        <v>1649</v>
      </c>
      <c r="N174" s="43" t="s">
        <v>25</v>
      </c>
      <c r="O174" s="43" t="s">
        <v>71</v>
      </c>
      <c r="P174" s="43" t="s">
        <v>1813</v>
      </c>
      <c r="Q174" s="45">
        <v>226230</v>
      </c>
      <c r="R174" s="45">
        <v>0</v>
      </c>
      <c r="S174" s="45">
        <v>226230</v>
      </c>
    </row>
    <row r="175" spans="1:19" x14ac:dyDescent="0.3">
      <c r="A175" s="21">
        <v>10174</v>
      </c>
      <c r="B175" s="21" t="s">
        <v>163</v>
      </c>
      <c r="C175" s="21" t="s">
        <v>1658</v>
      </c>
      <c r="D175" s="21">
        <v>9181979427</v>
      </c>
      <c r="E175" s="21" t="s">
        <v>279</v>
      </c>
      <c r="F175" s="21" t="s">
        <v>259</v>
      </c>
      <c r="G175" s="43" t="s">
        <v>204</v>
      </c>
      <c r="H175" s="43" t="s">
        <v>143</v>
      </c>
      <c r="I175" s="43">
        <v>4</v>
      </c>
      <c r="J175" s="43">
        <v>185</v>
      </c>
      <c r="K175" s="43">
        <v>15</v>
      </c>
      <c r="L175" s="44">
        <v>45493</v>
      </c>
      <c r="M175" s="43" t="s">
        <v>43</v>
      </c>
      <c r="N175" s="43" t="s">
        <v>25</v>
      </c>
      <c r="O175" s="43" t="s">
        <v>1641</v>
      </c>
      <c r="P175" s="43">
        <v>5</v>
      </c>
      <c r="Q175" s="45">
        <v>740</v>
      </c>
      <c r="R175" s="45">
        <v>111</v>
      </c>
      <c r="S175" s="45">
        <v>629</v>
      </c>
    </row>
    <row r="176" spans="1:19" x14ac:dyDescent="0.3">
      <c r="A176" s="21">
        <v>10175</v>
      </c>
      <c r="B176" s="21" t="s">
        <v>394</v>
      </c>
      <c r="C176" s="21" t="s">
        <v>1666</v>
      </c>
      <c r="D176" s="21">
        <v>9397339986</v>
      </c>
      <c r="E176" s="21" t="s">
        <v>197</v>
      </c>
      <c r="F176" s="21" t="s">
        <v>191</v>
      </c>
      <c r="G176" s="43" t="s">
        <v>204</v>
      </c>
      <c r="H176" s="43" t="s">
        <v>143</v>
      </c>
      <c r="I176" s="43">
        <v>1</v>
      </c>
      <c r="J176" s="43">
        <v>587</v>
      </c>
      <c r="K176" s="43">
        <v>0</v>
      </c>
      <c r="L176" s="44">
        <v>45453</v>
      </c>
      <c r="M176" s="43" t="s">
        <v>24</v>
      </c>
      <c r="N176" s="43" t="s">
        <v>25</v>
      </c>
      <c r="O176" s="43" t="s">
        <v>34</v>
      </c>
      <c r="P176" s="43">
        <v>4</v>
      </c>
      <c r="Q176" s="45">
        <v>587</v>
      </c>
      <c r="R176" s="45">
        <v>0</v>
      </c>
      <c r="S176" s="45">
        <v>587</v>
      </c>
    </row>
    <row r="177" spans="1:19" x14ac:dyDescent="0.3">
      <c r="A177" s="21">
        <v>10176</v>
      </c>
      <c r="B177" s="21" t="s">
        <v>603</v>
      </c>
      <c r="C177" s="21" t="s">
        <v>1693</v>
      </c>
      <c r="D177" s="21">
        <v>9991382664</v>
      </c>
      <c r="E177" s="21" t="s">
        <v>219</v>
      </c>
      <c r="F177" s="21" t="s">
        <v>150</v>
      </c>
      <c r="G177" s="43" t="s">
        <v>368</v>
      </c>
      <c r="H177" s="43" t="s">
        <v>22</v>
      </c>
      <c r="I177" s="43">
        <v>2</v>
      </c>
      <c r="J177" s="43">
        <v>2476</v>
      </c>
      <c r="K177" s="43">
        <v>20</v>
      </c>
      <c r="L177" s="44">
        <v>45588</v>
      </c>
      <c r="M177" s="43" t="s">
        <v>24</v>
      </c>
      <c r="N177" s="43" t="s">
        <v>25</v>
      </c>
      <c r="O177" s="43" t="s">
        <v>45</v>
      </c>
      <c r="P177" s="43">
        <v>1</v>
      </c>
      <c r="Q177" s="45">
        <v>4952</v>
      </c>
      <c r="R177" s="45">
        <v>990.4</v>
      </c>
      <c r="S177" s="45">
        <v>3961.6</v>
      </c>
    </row>
    <row r="178" spans="1:19" x14ac:dyDescent="0.3">
      <c r="A178" s="21">
        <v>10177</v>
      </c>
      <c r="B178" s="21" t="s">
        <v>351</v>
      </c>
      <c r="C178" s="21" t="s">
        <v>1688</v>
      </c>
      <c r="D178" s="21">
        <v>9829770668</v>
      </c>
      <c r="E178" s="21" t="s">
        <v>219</v>
      </c>
      <c r="F178" s="21" t="s">
        <v>150</v>
      </c>
      <c r="G178" s="43" t="s">
        <v>21</v>
      </c>
      <c r="H178" s="43" t="s">
        <v>22</v>
      </c>
      <c r="I178" s="43">
        <v>3</v>
      </c>
      <c r="J178" s="43">
        <v>963</v>
      </c>
      <c r="K178" s="43">
        <v>15</v>
      </c>
      <c r="L178" s="44">
        <v>45418</v>
      </c>
      <c r="M178" s="43" t="s">
        <v>1646</v>
      </c>
      <c r="N178" s="43" t="s">
        <v>25</v>
      </c>
      <c r="O178" s="43" t="s">
        <v>71</v>
      </c>
      <c r="P178" s="43">
        <v>3</v>
      </c>
      <c r="Q178" s="45">
        <v>2889</v>
      </c>
      <c r="R178" s="45">
        <v>433.35</v>
      </c>
      <c r="S178" s="45">
        <v>2455.65</v>
      </c>
    </row>
    <row r="179" spans="1:19" x14ac:dyDescent="0.3">
      <c r="A179" s="21">
        <v>10178</v>
      </c>
      <c r="B179" s="21" t="s">
        <v>639</v>
      </c>
      <c r="C179" s="21" t="s">
        <v>1732</v>
      </c>
      <c r="D179" s="21">
        <v>9111067913</v>
      </c>
      <c r="E179" s="21" t="s">
        <v>279</v>
      </c>
      <c r="F179" s="21" t="s">
        <v>259</v>
      </c>
      <c r="G179" s="43" t="s">
        <v>106</v>
      </c>
      <c r="H179" s="43" t="s">
        <v>83</v>
      </c>
      <c r="I179" s="43">
        <v>1</v>
      </c>
      <c r="J179" s="43">
        <v>10612</v>
      </c>
      <c r="K179" s="43">
        <v>20</v>
      </c>
      <c r="L179" s="44">
        <v>45382</v>
      </c>
      <c r="M179" s="43" t="s">
        <v>1646</v>
      </c>
      <c r="N179" s="43" t="s">
        <v>25</v>
      </c>
      <c r="O179" s="43" t="s">
        <v>174</v>
      </c>
      <c r="P179" s="43">
        <v>5</v>
      </c>
      <c r="Q179" s="45">
        <v>10612</v>
      </c>
      <c r="R179" s="45">
        <v>2122.4</v>
      </c>
      <c r="S179" s="45">
        <v>8489.6</v>
      </c>
    </row>
    <row r="180" spans="1:19" x14ac:dyDescent="0.3">
      <c r="A180" s="21">
        <v>10179</v>
      </c>
      <c r="B180" s="21" t="s">
        <v>1034</v>
      </c>
      <c r="C180" s="21" t="s">
        <v>1769</v>
      </c>
      <c r="D180" s="21">
        <v>9927723467</v>
      </c>
      <c r="E180" s="21" t="s">
        <v>57</v>
      </c>
      <c r="F180" s="21" t="s">
        <v>50</v>
      </c>
      <c r="G180" s="43" t="s">
        <v>226</v>
      </c>
      <c r="H180" s="43" t="s">
        <v>22</v>
      </c>
      <c r="I180" s="43">
        <v>2</v>
      </c>
      <c r="J180" s="43">
        <v>1667</v>
      </c>
      <c r="K180" s="43">
        <v>0</v>
      </c>
      <c r="L180" s="44">
        <v>45577</v>
      </c>
      <c r="M180" s="43" t="s">
        <v>1646</v>
      </c>
      <c r="N180" s="43" t="s">
        <v>25</v>
      </c>
      <c r="O180" s="43" t="s">
        <v>71</v>
      </c>
      <c r="P180" s="43">
        <v>5</v>
      </c>
      <c r="Q180" s="45">
        <v>3334</v>
      </c>
      <c r="R180" s="45">
        <v>0</v>
      </c>
      <c r="S180" s="45">
        <v>3334</v>
      </c>
    </row>
    <row r="181" spans="1:19" x14ac:dyDescent="0.3">
      <c r="A181" s="21">
        <v>10180</v>
      </c>
      <c r="B181" s="21" t="s">
        <v>793</v>
      </c>
      <c r="C181" s="21" t="s">
        <v>1803</v>
      </c>
      <c r="D181" s="21">
        <v>9442919550</v>
      </c>
      <c r="E181" s="21" t="s">
        <v>74</v>
      </c>
      <c r="F181" s="21" t="s">
        <v>75</v>
      </c>
      <c r="G181" s="43" t="s">
        <v>231</v>
      </c>
      <c r="H181" s="43" t="s">
        <v>83</v>
      </c>
      <c r="I181" s="43">
        <v>2</v>
      </c>
      <c r="J181" s="43">
        <v>4463</v>
      </c>
      <c r="K181" s="43">
        <v>0</v>
      </c>
      <c r="L181" s="44">
        <v>45424</v>
      </c>
      <c r="M181" s="43" t="s">
        <v>69</v>
      </c>
      <c r="N181" s="43" t="s">
        <v>25</v>
      </c>
      <c r="O181" s="43" t="s">
        <v>34</v>
      </c>
      <c r="P181" s="43">
        <v>4</v>
      </c>
      <c r="Q181" s="45">
        <v>8926</v>
      </c>
      <c r="R181" s="45">
        <v>0</v>
      </c>
      <c r="S181" s="45">
        <v>8926</v>
      </c>
    </row>
    <row r="182" spans="1:19" x14ac:dyDescent="0.3">
      <c r="A182" s="21">
        <v>10181</v>
      </c>
      <c r="B182" s="21" t="s">
        <v>585</v>
      </c>
      <c r="C182" s="21" t="s">
        <v>1645</v>
      </c>
      <c r="D182" s="21">
        <v>9179916401</v>
      </c>
      <c r="E182" s="21" t="s">
        <v>279</v>
      </c>
      <c r="F182" s="21" t="s">
        <v>259</v>
      </c>
      <c r="G182" s="43" t="s">
        <v>106</v>
      </c>
      <c r="H182" s="43" t="s">
        <v>83</v>
      </c>
      <c r="I182" s="43">
        <v>4</v>
      </c>
      <c r="J182" s="43">
        <v>13028</v>
      </c>
      <c r="K182" s="43">
        <v>20</v>
      </c>
      <c r="L182" s="44">
        <v>45310</v>
      </c>
      <c r="M182" s="43" t="s">
        <v>1649</v>
      </c>
      <c r="N182" s="43" t="s">
        <v>25</v>
      </c>
      <c r="O182" s="43" t="s">
        <v>34</v>
      </c>
      <c r="P182" s="43" t="s">
        <v>1813</v>
      </c>
      <c r="Q182" s="45">
        <v>52112</v>
      </c>
      <c r="R182" s="45">
        <v>10422.4</v>
      </c>
      <c r="S182" s="45">
        <v>41689.599999999999</v>
      </c>
    </row>
    <row r="183" spans="1:19" x14ac:dyDescent="0.3">
      <c r="A183" s="21">
        <v>10182</v>
      </c>
      <c r="B183" s="21" t="s">
        <v>923</v>
      </c>
      <c r="C183" s="21" t="s">
        <v>1768</v>
      </c>
      <c r="D183" s="21">
        <v>9878042848</v>
      </c>
      <c r="E183" s="21" t="s">
        <v>111</v>
      </c>
      <c r="F183" s="21" t="s">
        <v>111</v>
      </c>
      <c r="G183" s="43" t="s">
        <v>368</v>
      </c>
      <c r="H183" s="43" t="s">
        <v>22</v>
      </c>
      <c r="I183" s="43">
        <v>5</v>
      </c>
      <c r="J183" s="43">
        <v>1926</v>
      </c>
      <c r="K183" s="43">
        <v>20</v>
      </c>
      <c r="L183" s="44">
        <v>45372</v>
      </c>
      <c r="M183" s="43" t="s">
        <v>69</v>
      </c>
      <c r="N183" s="43" t="s">
        <v>25</v>
      </c>
      <c r="O183" s="43" t="s">
        <v>34</v>
      </c>
      <c r="P183" s="43">
        <v>1</v>
      </c>
      <c r="Q183" s="45">
        <v>9630</v>
      </c>
      <c r="R183" s="45">
        <v>1926</v>
      </c>
      <c r="S183" s="45">
        <v>7704</v>
      </c>
    </row>
    <row r="184" spans="1:19" x14ac:dyDescent="0.3">
      <c r="A184" s="21">
        <v>10183</v>
      </c>
      <c r="B184" s="21" t="s">
        <v>883</v>
      </c>
      <c r="C184" s="21" t="s">
        <v>1686</v>
      </c>
      <c r="D184" s="21">
        <v>9741304433</v>
      </c>
      <c r="E184" s="21" t="s">
        <v>74</v>
      </c>
      <c r="F184" s="21" t="s">
        <v>75</v>
      </c>
      <c r="G184" s="43" t="s">
        <v>155</v>
      </c>
      <c r="H184" s="43" t="s">
        <v>92</v>
      </c>
      <c r="I184" s="43">
        <v>2</v>
      </c>
      <c r="J184" s="43">
        <v>1391</v>
      </c>
      <c r="K184" s="43">
        <v>10</v>
      </c>
      <c r="L184" s="44">
        <v>45514</v>
      </c>
      <c r="M184" s="43" t="s">
        <v>43</v>
      </c>
      <c r="N184" s="43" t="s">
        <v>25</v>
      </c>
      <c r="O184" s="43" t="s">
        <v>53</v>
      </c>
      <c r="P184" s="43">
        <v>5</v>
      </c>
      <c r="Q184" s="45">
        <v>2782</v>
      </c>
      <c r="R184" s="45">
        <v>278.2</v>
      </c>
      <c r="S184" s="45">
        <v>2503.8000000000002</v>
      </c>
    </row>
    <row r="185" spans="1:19" x14ac:dyDescent="0.3">
      <c r="A185" s="21">
        <v>10184</v>
      </c>
      <c r="B185" s="21" t="s">
        <v>795</v>
      </c>
      <c r="C185" s="21" t="s">
        <v>1665</v>
      </c>
      <c r="D185" s="21">
        <v>9907113623</v>
      </c>
      <c r="E185" s="21" t="s">
        <v>371</v>
      </c>
      <c r="F185" s="21" t="s">
        <v>98</v>
      </c>
      <c r="G185" s="43" t="s">
        <v>99</v>
      </c>
      <c r="H185" s="43" t="s">
        <v>92</v>
      </c>
      <c r="I185" s="43">
        <v>2</v>
      </c>
      <c r="J185" s="43">
        <v>4437</v>
      </c>
      <c r="K185" s="43">
        <v>0</v>
      </c>
      <c r="L185" s="44">
        <v>45651</v>
      </c>
      <c r="M185" s="43" t="s">
        <v>24</v>
      </c>
      <c r="N185" s="43" t="s">
        <v>25</v>
      </c>
      <c r="O185" s="43" t="s">
        <v>53</v>
      </c>
      <c r="P185" s="43">
        <v>2</v>
      </c>
      <c r="Q185" s="45">
        <v>8874</v>
      </c>
      <c r="R185" s="45">
        <v>0</v>
      </c>
      <c r="S185" s="45">
        <v>8874</v>
      </c>
    </row>
    <row r="186" spans="1:19" x14ac:dyDescent="0.3">
      <c r="A186" s="21">
        <v>10185</v>
      </c>
      <c r="B186" s="21" t="s">
        <v>631</v>
      </c>
      <c r="C186" s="21" t="s">
        <v>1731</v>
      </c>
      <c r="D186" s="21">
        <v>9567505465</v>
      </c>
      <c r="E186" s="21" t="s">
        <v>273</v>
      </c>
      <c r="F186" s="21" t="s">
        <v>50</v>
      </c>
      <c r="G186" s="43" t="s">
        <v>280</v>
      </c>
      <c r="H186" s="43" t="s">
        <v>41</v>
      </c>
      <c r="I186" s="43">
        <v>1</v>
      </c>
      <c r="J186" s="43">
        <v>103</v>
      </c>
      <c r="K186" s="43">
        <v>0</v>
      </c>
      <c r="L186" s="44">
        <v>45528</v>
      </c>
      <c r="M186" s="43" t="s">
        <v>69</v>
      </c>
      <c r="N186" s="43" t="s">
        <v>25</v>
      </c>
      <c r="O186" s="43" t="s">
        <v>53</v>
      </c>
      <c r="P186" s="43">
        <v>1</v>
      </c>
      <c r="Q186" s="45">
        <v>103</v>
      </c>
      <c r="R186" s="45">
        <v>0</v>
      </c>
      <c r="S186" s="45">
        <v>103</v>
      </c>
    </row>
    <row r="187" spans="1:19" x14ac:dyDescent="0.3">
      <c r="A187" s="21">
        <v>10186</v>
      </c>
      <c r="B187" s="21" t="s">
        <v>310</v>
      </c>
      <c r="C187" s="21" t="s">
        <v>1640</v>
      </c>
      <c r="D187" s="21" t="s">
        <v>1812</v>
      </c>
      <c r="E187" s="21" t="s">
        <v>111</v>
      </c>
      <c r="F187" s="21" t="s">
        <v>111</v>
      </c>
      <c r="G187" s="43" t="s">
        <v>112</v>
      </c>
      <c r="H187" s="43" t="s">
        <v>83</v>
      </c>
      <c r="I187" s="43">
        <v>3</v>
      </c>
      <c r="J187" s="43">
        <v>27207</v>
      </c>
      <c r="K187" s="43">
        <v>20</v>
      </c>
      <c r="L187" s="44">
        <v>45420</v>
      </c>
      <c r="M187" s="43" t="s">
        <v>1646</v>
      </c>
      <c r="N187" s="43" t="s">
        <v>25</v>
      </c>
      <c r="O187" s="43" t="s">
        <v>53</v>
      </c>
      <c r="P187" s="43">
        <v>2</v>
      </c>
      <c r="Q187" s="45">
        <v>81621</v>
      </c>
      <c r="R187" s="45">
        <v>16324.2</v>
      </c>
      <c r="S187" s="45">
        <v>65296.800000000003</v>
      </c>
    </row>
    <row r="188" spans="1:19" x14ac:dyDescent="0.3">
      <c r="A188" s="21">
        <v>10187</v>
      </c>
      <c r="B188" s="21" t="s">
        <v>1490</v>
      </c>
      <c r="C188" s="21" t="s">
        <v>1807</v>
      </c>
      <c r="D188" s="21">
        <v>9252051767</v>
      </c>
      <c r="E188" s="21" t="s">
        <v>343</v>
      </c>
      <c r="F188" s="21" t="s">
        <v>50</v>
      </c>
      <c r="G188" s="43" t="s">
        <v>179</v>
      </c>
      <c r="H188" s="43" t="s">
        <v>60</v>
      </c>
      <c r="I188" s="43">
        <v>5</v>
      </c>
      <c r="J188" s="43">
        <v>781</v>
      </c>
      <c r="K188" s="43">
        <v>5</v>
      </c>
      <c r="L188" s="44">
        <v>45400</v>
      </c>
      <c r="M188" s="43" t="s">
        <v>1646</v>
      </c>
      <c r="N188" s="43" t="s">
        <v>25</v>
      </c>
      <c r="O188" s="43" t="s">
        <v>53</v>
      </c>
      <c r="P188" s="43">
        <v>4</v>
      </c>
      <c r="Q188" s="45">
        <v>3905</v>
      </c>
      <c r="R188" s="45">
        <v>195.25</v>
      </c>
      <c r="S188" s="45">
        <v>3709.75</v>
      </c>
    </row>
    <row r="189" spans="1:19" x14ac:dyDescent="0.3">
      <c r="A189" s="21">
        <v>10188</v>
      </c>
      <c r="B189" s="21" t="s">
        <v>72</v>
      </c>
      <c r="C189" s="21" t="s">
        <v>1711</v>
      </c>
      <c r="D189" s="21" t="s">
        <v>1812</v>
      </c>
      <c r="E189" s="21" t="s">
        <v>74</v>
      </c>
      <c r="F189" s="21" t="s">
        <v>75</v>
      </c>
      <c r="G189" s="43" t="s">
        <v>411</v>
      </c>
      <c r="H189" s="43" t="s">
        <v>83</v>
      </c>
      <c r="I189" s="43">
        <v>1</v>
      </c>
      <c r="J189" s="43">
        <v>52269</v>
      </c>
      <c r="K189" s="43">
        <v>10</v>
      </c>
      <c r="L189" s="44">
        <v>45607</v>
      </c>
      <c r="M189" s="43" t="s">
        <v>69</v>
      </c>
      <c r="N189" s="43" t="s">
        <v>25</v>
      </c>
      <c r="O189" s="43" t="s">
        <v>174</v>
      </c>
      <c r="P189" s="43" t="s">
        <v>1813</v>
      </c>
      <c r="Q189" s="45">
        <v>52269</v>
      </c>
      <c r="R189" s="45">
        <v>5226.8999999999996</v>
      </c>
      <c r="S189" s="45">
        <v>47042.1</v>
      </c>
    </row>
    <row r="190" spans="1:19" x14ac:dyDescent="0.3">
      <c r="A190" s="21">
        <v>10189</v>
      </c>
      <c r="B190" s="21" t="s">
        <v>282</v>
      </c>
      <c r="C190" s="21" t="s">
        <v>1677</v>
      </c>
      <c r="D190" s="21">
        <v>9526300333</v>
      </c>
      <c r="E190" s="21" t="s">
        <v>172</v>
      </c>
      <c r="F190" s="21" t="s">
        <v>150</v>
      </c>
      <c r="G190" s="43" t="s">
        <v>155</v>
      </c>
      <c r="H190" s="43" t="s">
        <v>92</v>
      </c>
      <c r="I190" s="43">
        <v>3</v>
      </c>
      <c r="J190" s="43">
        <v>1362</v>
      </c>
      <c r="K190" s="43">
        <v>0</v>
      </c>
      <c r="L190" s="44">
        <v>45588</v>
      </c>
      <c r="M190" s="43" t="s">
        <v>43</v>
      </c>
      <c r="N190" s="43" t="s">
        <v>25</v>
      </c>
      <c r="O190" s="43" t="s">
        <v>53</v>
      </c>
      <c r="P190" s="43">
        <v>5</v>
      </c>
      <c r="Q190" s="45">
        <v>4086</v>
      </c>
      <c r="R190" s="45">
        <v>0</v>
      </c>
      <c r="S190" s="45">
        <v>4086</v>
      </c>
    </row>
    <row r="191" spans="1:19" x14ac:dyDescent="0.3">
      <c r="A191" s="21">
        <v>10190</v>
      </c>
      <c r="B191" s="21" t="s">
        <v>778</v>
      </c>
      <c r="C191" s="21" t="s">
        <v>1645</v>
      </c>
      <c r="D191" s="21">
        <v>9506461441</v>
      </c>
      <c r="E191" s="21" t="s">
        <v>38</v>
      </c>
      <c r="F191" s="21" t="s">
        <v>429</v>
      </c>
      <c r="G191" s="43" t="s">
        <v>231</v>
      </c>
      <c r="H191" s="43" t="s">
        <v>83</v>
      </c>
      <c r="I191" s="43">
        <v>1</v>
      </c>
      <c r="J191" s="43">
        <v>2997</v>
      </c>
      <c r="K191" s="43">
        <v>10</v>
      </c>
      <c r="L191" s="44">
        <v>45645</v>
      </c>
      <c r="M191" s="43" t="s">
        <v>1646</v>
      </c>
      <c r="N191" s="43" t="s">
        <v>25</v>
      </c>
      <c r="O191" s="43" t="s">
        <v>1641</v>
      </c>
      <c r="P191" s="43">
        <v>3</v>
      </c>
      <c r="Q191" s="45">
        <v>2997</v>
      </c>
      <c r="R191" s="45">
        <v>299.7</v>
      </c>
      <c r="S191" s="45">
        <v>2697.3</v>
      </c>
    </row>
    <row r="192" spans="1:19" x14ac:dyDescent="0.3">
      <c r="A192" s="21">
        <v>10191</v>
      </c>
      <c r="B192" s="21" t="s">
        <v>716</v>
      </c>
      <c r="C192" s="21" t="s">
        <v>1667</v>
      </c>
      <c r="D192" s="21">
        <v>9782732853</v>
      </c>
      <c r="E192" s="21" t="s">
        <v>371</v>
      </c>
      <c r="F192" s="21" t="s">
        <v>98</v>
      </c>
      <c r="G192" s="43" t="s">
        <v>280</v>
      </c>
      <c r="H192" s="43" t="s">
        <v>41</v>
      </c>
      <c r="I192" s="43">
        <v>3</v>
      </c>
      <c r="J192" s="43">
        <v>161</v>
      </c>
      <c r="K192" s="43">
        <v>0</v>
      </c>
      <c r="L192" s="44">
        <v>45535</v>
      </c>
      <c r="M192" s="43" t="s">
        <v>1649</v>
      </c>
      <c r="N192" s="43" t="s">
        <v>25</v>
      </c>
      <c r="O192" s="43" t="s">
        <v>1641</v>
      </c>
      <c r="P192" s="43">
        <v>3</v>
      </c>
      <c r="Q192" s="45">
        <v>483</v>
      </c>
      <c r="R192" s="45">
        <v>0</v>
      </c>
      <c r="S192" s="45">
        <v>483</v>
      </c>
    </row>
    <row r="193" spans="1:19" x14ac:dyDescent="0.3">
      <c r="A193" s="21">
        <v>10192</v>
      </c>
      <c r="B193" s="21" t="s">
        <v>329</v>
      </c>
      <c r="C193" s="21" t="s">
        <v>1645</v>
      </c>
      <c r="D193" s="21">
        <v>9550220088</v>
      </c>
      <c r="E193" s="21" t="s">
        <v>197</v>
      </c>
      <c r="F193" s="21" t="s">
        <v>191</v>
      </c>
      <c r="G193" s="43" t="s">
        <v>179</v>
      </c>
      <c r="H193" s="43" t="s">
        <v>60</v>
      </c>
      <c r="I193" s="43">
        <v>5</v>
      </c>
      <c r="J193" s="43">
        <v>240</v>
      </c>
      <c r="K193" s="43">
        <v>0</v>
      </c>
      <c r="L193" s="44">
        <v>45460</v>
      </c>
      <c r="M193" s="43" t="s">
        <v>69</v>
      </c>
      <c r="N193" s="43" t="s">
        <v>25</v>
      </c>
      <c r="O193" s="43" t="s">
        <v>53</v>
      </c>
      <c r="P193" s="43">
        <v>2</v>
      </c>
      <c r="Q193" s="45">
        <v>1200</v>
      </c>
      <c r="R193" s="45">
        <v>0</v>
      </c>
      <c r="S193" s="45">
        <v>1200</v>
      </c>
    </row>
    <row r="194" spans="1:19" x14ac:dyDescent="0.3">
      <c r="A194" s="21">
        <v>10193</v>
      </c>
      <c r="B194" s="21" t="s">
        <v>72</v>
      </c>
      <c r="C194" s="21" t="s">
        <v>1711</v>
      </c>
      <c r="D194" s="21">
        <v>9357068174</v>
      </c>
      <c r="E194" s="21" t="s">
        <v>172</v>
      </c>
      <c r="F194" s="21" t="s">
        <v>150</v>
      </c>
      <c r="G194" s="43" t="s">
        <v>112</v>
      </c>
      <c r="H194" s="43" t="s">
        <v>83</v>
      </c>
      <c r="I194" s="43">
        <v>5</v>
      </c>
      <c r="J194" s="43">
        <v>29648</v>
      </c>
      <c r="K194" s="43">
        <v>5</v>
      </c>
      <c r="L194" s="44">
        <v>45477</v>
      </c>
      <c r="M194" s="43" t="s">
        <v>1646</v>
      </c>
      <c r="N194" s="43" t="s">
        <v>25</v>
      </c>
      <c r="O194" s="43" t="s">
        <v>71</v>
      </c>
      <c r="P194" s="43">
        <v>5</v>
      </c>
      <c r="Q194" s="45">
        <v>148240</v>
      </c>
      <c r="R194" s="45">
        <v>7412</v>
      </c>
      <c r="S194" s="45">
        <v>140828</v>
      </c>
    </row>
    <row r="195" spans="1:19" x14ac:dyDescent="0.3">
      <c r="A195" s="21">
        <v>10194</v>
      </c>
      <c r="B195" s="21" t="s">
        <v>1747</v>
      </c>
      <c r="C195" s="21" t="s">
        <v>1748</v>
      </c>
      <c r="D195" s="21">
        <v>9291987067</v>
      </c>
      <c r="E195" s="21" t="s">
        <v>38</v>
      </c>
      <c r="F195" s="21" t="s">
        <v>429</v>
      </c>
      <c r="G195" s="43" t="s">
        <v>161</v>
      </c>
      <c r="H195" s="43" t="s">
        <v>83</v>
      </c>
      <c r="I195" s="43">
        <v>5</v>
      </c>
      <c r="J195" s="43">
        <v>26534</v>
      </c>
      <c r="K195" s="43">
        <v>15</v>
      </c>
      <c r="L195" s="44">
        <v>45319</v>
      </c>
      <c r="M195" s="43" t="s">
        <v>24</v>
      </c>
      <c r="N195" s="43" t="s">
        <v>25</v>
      </c>
      <c r="O195" s="43" t="s">
        <v>45</v>
      </c>
      <c r="P195" s="43" t="s">
        <v>1813</v>
      </c>
      <c r="Q195" s="45">
        <v>132670</v>
      </c>
      <c r="R195" s="45">
        <v>19900.5</v>
      </c>
      <c r="S195" s="45">
        <v>112769.5</v>
      </c>
    </row>
    <row r="196" spans="1:19" x14ac:dyDescent="0.3">
      <c r="A196" s="21">
        <v>10195</v>
      </c>
      <c r="B196" s="21" t="s">
        <v>310</v>
      </c>
      <c r="C196" s="21" t="s">
        <v>1640</v>
      </c>
      <c r="D196" s="21">
        <v>9101325416</v>
      </c>
      <c r="E196" s="21" t="s">
        <v>273</v>
      </c>
      <c r="F196" s="21" t="s">
        <v>50</v>
      </c>
      <c r="G196" s="43" t="s">
        <v>21</v>
      </c>
      <c r="H196" s="43" t="s">
        <v>22</v>
      </c>
      <c r="I196" s="43">
        <v>5</v>
      </c>
      <c r="J196" s="43">
        <v>890</v>
      </c>
      <c r="K196" s="43">
        <v>5</v>
      </c>
      <c r="L196" s="44">
        <v>45433</v>
      </c>
      <c r="M196" s="43" t="s">
        <v>24</v>
      </c>
      <c r="N196" s="43" t="s">
        <v>25</v>
      </c>
      <c r="O196" s="43" t="s">
        <v>1641</v>
      </c>
      <c r="P196" s="43">
        <v>5</v>
      </c>
      <c r="Q196" s="45">
        <v>4450</v>
      </c>
      <c r="R196" s="45">
        <v>222.5</v>
      </c>
      <c r="S196" s="45">
        <v>4227.5</v>
      </c>
    </row>
    <row r="197" spans="1:19" x14ac:dyDescent="0.3">
      <c r="A197" s="21">
        <v>10196</v>
      </c>
      <c r="B197" s="21" t="s">
        <v>1706</v>
      </c>
      <c r="C197" s="21" t="s">
        <v>1181</v>
      </c>
      <c r="D197" s="21">
        <v>9366171436</v>
      </c>
      <c r="E197" s="21" t="s">
        <v>74</v>
      </c>
      <c r="F197" s="21" t="s">
        <v>75</v>
      </c>
      <c r="G197" s="43" t="s">
        <v>231</v>
      </c>
      <c r="H197" s="43" t="s">
        <v>83</v>
      </c>
      <c r="I197" s="43">
        <v>5</v>
      </c>
      <c r="J197" s="43">
        <v>2887</v>
      </c>
      <c r="K197" s="43">
        <v>5</v>
      </c>
      <c r="L197" s="44">
        <v>45494</v>
      </c>
      <c r="M197" s="43" t="s">
        <v>24</v>
      </c>
      <c r="N197" s="43" t="s">
        <v>119</v>
      </c>
      <c r="O197" s="43" t="s">
        <v>34</v>
      </c>
      <c r="P197" s="43" t="s">
        <v>1813</v>
      </c>
      <c r="Q197" s="45">
        <v>14435</v>
      </c>
      <c r="R197" s="45">
        <v>721.75</v>
      </c>
      <c r="S197" s="45">
        <v>13713.25</v>
      </c>
    </row>
    <row r="198" spans="1:19" x14ac:dyDescent="0.3">
      <c r="A198" s="21">
        <v>10197</v>
      </c>
      <c r="B198" s="21" t="s">
        <v>244</v>
      </c>
      <c r="C198" s="21" t="s">
        <v>1672</v>
      </c>
      <c r="D198" s="21">
        <v>9143247928</v>
      </c>
      <c r="E198" s="21" t="s">
        <v>343</v>
      </c>
      <c r="F198" s="21" t="s">
        <v>50</v>
      </c>
      <c r="G198" s="43" t="s">
        <v>368</v>
      </c>
      <c r="H198" s="43" t="s">
        <v>22</v>
      </c>
      <c r="I198" s="43">
        <v>4</v>
      </c>
      <c r="J198" s="43">
        <v>1337</v>
      </c>
      <c r="K198" s="43">
        <v>5</v>
      </c>
      <c r="L198" s="44">
        <v>45454</v>
      </c>
      <c r="M198" s="43" t="s">
        <v>43</v>
      </c>
      <c r="N198" s="43" t="s">
        <v>25</v>
      </c>
      <c r="O198" s="43" t="s">
        <v>1641</v>
      </c>
      <c r="P198" s="43" t="s">
        <v>1813</v>
      </c>
      <c r="Q198" s="45">
        <v>5348</v>
      </c>
      <c r="R198" s="45">
        <v>267.39999999999998</v>
      </c>
      <c r="S198" s="45">
        <v>5080.6000000000004</v>
      </c>
    </row>
    <row r="199" spans="1:19" x14ac:dyDescent="0.3">
      <c r="A199" s="21">
        <v>10198</v>
      </c>
      <c r="B199" s="21" t="s">
        <v>561</v>
      </c>
      <c r="C199" s="21" t="s">
        <v>1776</v>
      </c>
      <c r="D199" s="21" t="s">
        <v>1812</v>
      </c>
      <c r="E199" s="21" t="s">
        <v>343</v>
      </c>
      <c r="F199" s="21" t="s">
        <v>50</v>
      </c>
      <c r="G199" s="43" t="s">
        <v>99</v>
      </c>
      <c r="H199" s="43" t="s">
        <v>92</v>
      </c>
      <c r="I199" s="43">
        <v>3</v>
      </c>
      <c r="J199" s="43">
        <v>2054</v>
      </c>
      <c r="K199" s="43">
        <v>0</v>
      </c>
      <c r="L199" s="44">
        <v>45434</v>
      </c>
      <c r="M199" s="43" t="s">
        <v>43</v>
      </c>
      <c r="N199" s="43" t="s">
        <v>119</v>
      </c>
      <c r="O199" s="43" t="s">
        <v>1641</v>
      </c>
      <c r="P199" s="43" t="s">
        <v>1813</v>
      </c>
      <c r="Q199" s="45">
        <v>6162</v>
      </c>
      <c r="R199" s="45">
        <v>0</v>
      </c>
      <c r="S199" s="45">
        <v>6162</v>
      </c>
    </row>
    <row r="200" spans="1:19" x14ac:dyDescent="0.3">
      <c r="A200" s="21">
        <v>10199</v>
      </c>
      <c r="B200" s="21" t="s">
        <v>394</v>
      </c>
      <c r="C200" s="21" t="s">
        <v>1666</v>
      </c>
      <c r="D200" s="21">
        <v>9785665156</v>
      </c>
      <c r="E200" s="21" t="s">
        <v>371</v>
      </c>
      <c r="F200" s="21" t="s">
        <v>98</v>
      </c>
      <c r="G200" s="43" t="s">
        <v>179</v>
      </c>
      <c r="H200" s="43" t="s">
        <v>60</v>
      </c>
      <c r="I200" s="43">
        <v>1</v>
      </c>
      <c r="J200" s="43">
        <v>793</v>
      </c>
      <c r="K200" s="43">
        <v>15</v>
      </c>
      <c r="L200" s="44">
        <v>45568</v>
      </c>
      <c r="M200" s="43" t="s">
        <v>69</v>
      </c>
      <c r="N200" s="43" t="s">
        <v>25</v>
      </c>
      <c r="O200" s="43" t="s">
        <v>71</v>
      </c>
      <c r="P200" s="43">
        <v>1</v>
      </c>
      <c r="Q200" s="45">
        <v>793</v>
      </c>
      <c r="R200" s="45">
        <v>118.95</v>
      </c>
      <c r="S200" s="45">
        <v>674.05</v>
      </c>
    </row>
    <row r="201" spans="1:19" x14ac:dyDescent="0.3">
      <c r="A201" s="21">
        <v>10200</v>
      </c>
      <c r="B201" s="21" t="s">
        <v>651</v>
      </c>
      <c r="C201" s="21" t="s">
        <v>320</v>
      </c>
      <c r="D201" s="21">
        <v>9830708276</v>
      </c>
      <c r="E201" s="21" t="s">
        <v>111</v>
      </c>
      <c r="F201" s="21" t="s">
        <v>111</v>
      </c>
      <c r="G201" s="43" t="s">
        <v>226</v>
      </c>
      <c r="H201" s="43" t="s">
        <v>22</v>
      </c>
      <c r="I201" s="43">
        <v>3</v>
      </c>
      <c r="J201" s="43">
        <v>1100</v>
      </c>
      <c r="K201" s="43">
        <v>15</v>
      </c>
      <c r="L201" s="44">
        <v>45455</v>
      </c>
      <c r="M201" s="43" t="s">
        <v>43</v>
      </c>
      <c r="N201" s="43" t="s">
        <v>25</v>
      </c>
      <c r="O201" s="43" t="s">
        <v>53</v>
      </c>
      <c r="P201" s="43">
        <v>3</v>
      </c>
      <c r="Q201" s="45">
        <v>3300</v>
      </c>
      <c r="R201" s="45">
        <v>495</v>
      </c>
      <c r="S201" s="45">
        <v>2805</v>
      </c>
    </row>
    <row r="202" spans="1:19" x14ac:dyDescent="0.3">
      <c r="A202" s="21">
        <v>10201</v>
      </c>
      <c r="B202" s="21" t="s">
        <v>1222</v>
      </c>
      <c r="C202" s="21" t="s">
        <v>1718</v>
      </c>
      <c r="D202" s="21" t="s">
        <v>1812</v>
      </c>
      <c r="E202" s="21" t="s">
        <v>343</v>
      </c>
      <c r="F202" s="21" t="s">
        <v>50</v>
      </c>
      <c r="G202" s="43" t="s">
        <v>99</v>
      </c>
      <c r="H202" s="43" t="s">
        <v>92</v>
      </c>
      <c r="I202" s="43">
        <v>3</v>
      </c>
      <c r="J202" s="43">
        <v>4834</v>
      </c>
      <c r="K202" s="43">
        <v>0</v>
      </c>
      <c r="L202" s="44">
        <v>45491</v>
      </c>
      <c r="M202" s="43" t="s">
        <v>43</v>
      </c>
      <c r="N202" s="43" t="s">
        <v>25</v>
      </c>
      <c r="O202" s="43" t="s">
        <v>1641</v>
      </c>
      <c r="P202" s="43">
        <v>2</v>
      </c>
      <c r="Q202" s="45">
        <v>14502</v>
      </c>
      <c r="R202" s="45">
        <v>0</v>
      </c>
      <c r="S202" s="45">
        <v>14502</v>
      </c>
    </row>
    <row r="203" spans="1:19" x14ac:dyDescent="0.3">
      <c r="A203" s="21">
        <v>10202</v>
      </c>
      <c r="B203" s="21" t="s">
        <v>35</v>
      </c>
      <c r="C203" s="21" t="s">
        <v>1645</v>
      </c>
      <c r="D203" s="21">
        <v>9352886115</v>
      </c>
      <c r="E203" s="21" t="s">
        <v>279</v>
      </c>
      <c r="F203" s="21" t="s">
        <v>259</v>
      </c>
      <c r="G203" s="43" t="s">
        <v>204</v>
      </c>
      <c r="H203" s="43" t="s">
        <v>143</v>
      </c>
      <c r="I203" s="43">
        <v>2</v>
      </c>
      <c r="J203" s="43">
        <v>215</v>
      </c>
      <c r="K203" s="43">
        <v>15</v>
      </c>
      <c r="L203" s="44">
        <v>45575</v>
      </c>
      <c r="M203" s="43" t="s">
        <v>69</v>
      </c>
      <c r="N203" s="43" t="s">
        <v>25</v>
      </c>
      <c r="O203" s="43" t="s">
        <v>53</v>
      </c>
      <c r="P203" s="43">
        <v>2</v>
      </c>
      <c r="Q203" s="45">
        <v>430</v>
      </c>
      <c r="R203" s="45">
        <v>64.5</v>
      </c>
      <c r="S203" s="45">
        <v>365.5</v>
      </c>
    </row>
    <row r="204" spans="1:19" x14ac:dyDescent="0.3">
      <c r="A204" s="21">
        <v>10203</v>
      </c>
      <c r="B204" s="21" t="s">
        <v>1106</v>
      </c>
      <c r="C204" s="21" t="s">
        <v>1780</v>
      </c>
      <c r="D204" s="21">
        <v>9223241459</v>
      </c>
      <c r="E204" s="21" t="s">
        <v>343</v>
      </c>
      <c r="F204" s="21" t="s">
        <v>50</v>
      </c>
      <c r="G204" s="43" t="s">
        <v>204</v>
      </c>
      <c r="H204" s="43" t="s">
        <v>143</v>
      </c>
      <c r="I204" s="43">
        <v>4</v>
      </c>
      <c r="J204" s="43">
        <v>255</v>
      </c>
      <c r="K204" s="43">
        <v>5</v>
      </c>
      <c r="L204" s="44">
        <v>45462</v>
      </c>
      <c r="M204" s="43" t="s">
        <v>43</v>
      </c>
      <c r="N204" s="43" t="s">
        <v>25</v>
      </c>
      <c r="O204" s="43" t="s">
        <v>1641</v>
      </c>
      <c r="P204" s="43">
        <v>2</v>
      </c>
      <c r="Q204" s="45">
        <v>1020</v>
      </c>
      <c r="R204" s="45">
        <v>51</v>
      </c>
      <c r="S204" s="45">
        <v>969</v>
      </c>
    </row>
    <row r="205" spans="1:19" x14ac:dyDescent="0.3">
      <c r="A205" s="21">
        <v>10204</v>
      </c>
      <c r="B205" s="21" t="s">
        <v>290</v>
      </c>
      <c r="C205" s="21" t="s">
        <v>1678</v>
      </c>
      <c r="D205" s="21">
        <v>9353611362</v>
      </c>
      <c r="E205" s="21" t="s">
        <v>343</v>
      </c>
      <c r="F205" s="21" t="s">
        <v>50</v>
      </c>
      <c r="G205" s="43" t="s">
        <v>179</v>
      </c>
      <c r="H205" s="43" t="s">
        <v>60</v>
      </c>
      <c r="I205" s="43">
        <v>1</v>
      </c>
      <c r="J205" s="43">
        <v>296</v>
      </c>
      <c r="K205" s="43">
        <v>20</v>
      </c>
      <c r="L205" s="44">
        <v>45379</v>
      </c>
      <c r="M205" s="43" t="s">
        <v>69</v>
      </c>
      <c r="N205" s="43" t="s">
        <v>25</v>
      </c>
      <c r="O205" s="43" t="s">
        <v>174</v>
      </c>
      <c r="P205" s="43">
        <v>2</v>
      </c>
      <c r="Q205" s="45">
        <v>296</v>
      </c>
      <c r="R205" s="45">
        <v>59.2</v>
      </c>
      <c r="S205" s="45">
        <v>236.8</v>
      </c>
    </row>
    <row r="206" spans="1:19" x14ac:dyDescent="0.3">
      <c r="A206" s="21">
        <v>10205</v>
      </c>
      <c r="B206" s="21" t="s">
        <v>940</v>
      </c>
      <c r="C206" s="21" t="s">
        <v>1724</v>
      </c>
      <c r="D206" s="21" t="s">
        <v>1812</v>
      </c>
      <c r="E206" s="21" t="s">
        <v>111</v>
      </c>
      <c r="F206" s="21" t="s">
        <v>111</v>
      </c>
      <c r="G206" s="43" t="s">
        <v>231</v>
      </c>
      <c r="H206" s="43" t="s">
        <v>83</v>
      </c>
      <c r="I206" s="43">
        <v>2</v>
      </c>
      <c r="J206" s="43">
        <v>1685</v>
      </c>
      <c r="K206" s="43">
        <v>20</v>
      </c>
      <c r="L206" s="44">
        <v>45551</v>
      </c>
      <c r="M206" s="43" t="s">
        <v>1646</v>
      </c>
      <c r="N206" s="43" t="s">
        <v>25</v>
      </c>
      <c r="O206" s="43" t="s">
        <v>71</v>
      </c>
      <c r="P206" s="43">
        <v>1</v>
      </c>
      <c r="Q206" s="45">
        <v>3370</v>
      </c>
      <c r="R206" s="45">
        <v>674</v>
      </c>
      <c r="S206" s="45">
        <v>2696</v>
      </c>
    </row>
    <row r="207" spans="1:19" x14ac:dyDescent="0.3">
      <c r="A207" s="21">
        <v>10206</v>
      </c>
      <c r="B207" s="21" t="s">
        <v>763</v>
      </c>
      <c r="C207" s="21" t="s">
        <v>1662</v>
      </c>
      <c r="D207" s="21" t="s">
        <v>1812</v>
      </c>
      <c r="E207" s="21" t="s">
        <v>197</v>
      </c>
      <c r="F207" s="21" t="s">
        <v>191</v>
      </c>
      <c r="G207" s="43" t="s">
        <v>151</v>
      </c>
      <c r="H207" s="43" t="s">
        <v>143</v>
      </c>
      <c r="I207" s="43">
        <v>2</v>
      </c>
      <c r="J207" s="43">
        <v>499</v>
      </c>
      <c r="K207" s="43">
        <v>0</v>
      </c>
      <c r="L207" s="44">
        <v>45538</v>
      </c>
      <c r="M207" s="43" t="s">
        <v>69</v>
      </c>
      <c r="N207" s="43" t="s">
        <v>25</v>
      </c>
      <c r="O207" s="43" t="s">
        <v>53</v>
      </c>
      <c r="P207" s="43">
        <v>3</v>
      </c>
      <c r="Q207" s="45">
        <v>998</v>
      </c>
      <c r="R207" s="45">
        <v>0</v>
      </c>
      <c r="S207" s="45">
        <v>998</v>
      </c>
    </row>
    <row r="208" spans="1:19" x14ac:dyDescent="0.3">
      <c r="A208" s="21">
        <v>10207</v>
      </c>
      <c r="B208" s="21" t="s">
        <v>394</v>
      </c>
      <c r="C208" s="21" t="s">
        <v>1666</v>
      </c>
      <c r="D208" s="21">
        <v>9191247467</v>
      </c>
      <c r="E208" s="21" t="s">
        <v>371</v>
      </c>
      <c r="F208" s="21" t="s">
        <v>98</v>
      </c>
      <c r="G208" s="43" t="s">
        <v>21</v>
      </c>
      <c r="H208" s="43" t="s">
        <v>22</v>
      </c>
      <c r="I208" s="43">
        <v>5</v>
      </c>
      <c r="J208" s="43">
        <v>664</v>
      </c>
      <c r="K208" s="43">
        <v>0</v>
      </c>
      <c r="L208" s="44">
        <v>45339</v>
      </c>
      <c r="M208" s="43" t="s">
        <v>1646</v>
      </c>
      <c r="N208" s="43" t="s">
        <v>456</v>
      </c>
      <c r="O208" s="43" t="s">
        <v>53</v>
      </c>
      <c r="P208" s="43" t="s">
        <v>1813</v>
      </c>
      <c r="Q208" s="45">
        <v>3320</v>
      </c>
      <c r="R208" s="45">
        <v>0</v>
      </c>
      <c r="S208" s="45">
        <v>3320</v>
      </c>
    </row>
    <row r="209" spans="1:19" x14ac:dyDescent="0.3">
      <c r="A209" s="21">
        <v>10208</v>
      </c>
      <c r="B209" s="21" t="s">
        <v>1072</v>
      </c>
      <c r="C209" s="21" t="s">
        <v>1712</v>
      </c>
      <c r="D209" s="21">
        <v>9572431101</v>
      </c>
      <c r="E209" s="21" t="s">
        <v>371</v>
      </c>
      <c r="F209" s="21" t="s">
        <v>98</v>
      </c>
      <c r="G209" s="43" t="s">
        <v>204</v>
      </c>
      <c r="H209" s="43" t="s">
        <v>143</v>
      </c>
      <c r="I209" s="43">
        <v>3</v>
      </c>
      <c r="J209" s="43">
        <v>539</v>
      </c>
      <c r="K209" s="43">
        <v>0</v>
      </c>
      <c r="L209" s="44">
        <v>45417</v>
      </c>
      <c r="M209" s="43" t="s">
        <v>69</v>
      </c>
      <c r="N209" s="43" t="s">
        <v>25</v>
      </c>
      <c r="O209" s="43" t="s">
        <v>34</v>
      </c>
      <c r="P209" s="43">
        <v>3</v>
      </c>
      <c r="Q209" s="45">
        <v>1617</v>
      </c>
      <c r="R209" s="45">
        <v>0</v>
      </c>
      <c r="S209" s="45">
        <v>1617</v>
      </c>
    </row>
    <row r="210" spans="1:19" x14ac:dyDescent="0.3">
      <c r="A210" s="21">
        <v>10209</v>
      </c>
      <c r="B210" s="21" t="s">
        <v>1697</v>
      </c>
      <c r="C210" s="21" t="s">
        <v>1698</v>
      </c>
      <c r="D210" s="21">
        <v>9569998234</v>
      </c>
      <c r="E210" s="21" t="s">
        <v>111</v>
      </c>
      <c r="F210" s="21" t="s">
        <v>111</v>
      </c>
      <c r="G210" s="43" t="s">
        <v>204</v>
      </c>
      <c r="H210" s="43" t="s">
        <v>143</v>
      </c>
      <c r="I210" s="43">
        <v>5</v>
      </c>
      <c r="J210" s="43">
        <v>195</v>
      </c>
      <c r="K210" s="43">
        <v>5</v>
      </c>
      <c r="L210" s="44">
        <v>45399</v>
      </c>
      <c r="M210" s="43" t="s">
        <v>1646</v>
      </c>
      <c r="N210" s="43" t="s">
        <v>25</v>
      </c>
      <c r="O210" s="43" t="s">
        <v>71</v>
      </c>
      <c r="P210" s="43">
        <v>1</v>
      </c>
      <c r="Q210" s="45">
        <v>975</v>
      </c>
      <c r="R210" s="45">
        <v>48.75</v>
      </c>
      <c r="S210" s="45">
        <v>926.25</v>
      </c>
    </row>
    <row r="211" spans="1:19" x14ac:dyDescent="0.3">
      <c r="A211" s="21">
        <v>10210</v>
      </c>
      <c r="B211" s="21" t="s">
        <v>345</v>
      </c>
      <c r="C211" s="21" t="s">
        <v>1687</v>
      </c>
      <c r="D211" s="21">
        <v>9589101258</v>
      </c>
      <c r="E211" s="21" t="s">
        <v>343</v>
      </c>
      <c r="F211" s="21" t="s">
        <v>50</v>
      </c>
      <c r="G211" s="43" t="s">
        <v>112</v>
      </c>
      <c r="H211" s="43" t="s">
        <v>83</v>
      </c>
      <c r="I211" s="43">
        <v>4</v>
      </c>
      <c r="J211" s="43">
        <v>26416</v>
      </c>
      <c r="K211" s="43">
        <v>5</v>
      </c>
      <c r="L211" s="44">
        <v>45591</v>
      </c>
      <c r="M211" s="43" t="s">
        <v>43</v>
      </c>
      <c r="N211" s="43" t="s">
        <v>25</v>
      </c>
      <c r="O211" s="43" t="s">
        <v>174</v>
      </c>
      <c r="P211" s="43">
        <v>3</v>
      </c>
      <c r="Q211" s="45">
        <v>105664</v>
      </c>
      <c r="R211" s="45">
        <v>5283.2</v>
      </c>
      <c r="S211" s="45">
        <v>100380.8</v>
      </c>
    </row>
    <row r="212" spans="1:19" x14ac:dyDescent="0.3">
      <c r="A212" s="21">
        <v>10211</v>
      </c>
      <c r="B212" s="21" t="s">
        <v>1333</v>
      </c>
      <c r="C212" s="21" t="s">
        <v>1800</v>
      </c>
      <c r="D212" s="21">
        <v>9853500306</v>
      </c>
      <c r="E212" s="21" t="s">
        <v>219</v>
      </c>
      <c r="F212" s="21" t="s">
        <v>150</v>
      </c>
      <c r="G212" s="43" t="s">
        <v>198</v>
      </c>
      <c r="H212" s="43" t="s">
        <v>41</v>
      </c>
      <c r="I212" s="43">
        <v>1</v>
      </c>
      <c r="J212" s="43">
        <v>237</v>
      </c>
      <c r="K212" s="43">
        <v>20</v>
      </c>
      <c r="L212" s="44">
        <v>45362</v>
      </c>
      <c r="M212" s="43" t="s">
        <v>43</v>
      </c>
      <c r="N212" s="43" t="s">
        <v>25</v>
      </c>
      <c r="O212" s="43" t="s">
        <v>174</v>
      </c>
      <c r="P212" s="43">
        <v>4</v>
      </c>
      <c r="Q212" s="45">
        <v>237</v>
      </c>
      <c r="R212" s="45">
        <v>47.4</v>
      </c>
      <c r="S212" s="45">
        <v>189.6</v>
      </c>
    </row>
    <row r="213" spans="1:19" x14ac:dyDescent="0.3">
      <c r="A213" s="21">
        <v>10212</v>
      </c>
      <c r="B213" s="21" t="s">
        <v>1297</v>
      </c>
      <c r="C213" s="21" t="s">
        <v>1808</v>
      </c>
      <c r="D213" s="21">
        <v>9349599779</v>
      </c>
      <c r="E213" s="21" t="s">
        <v>172</v>
      </c>
      <c r="F213" s="21" t="s">
        <v>150</v>
      </c>
      <c r="G213" s="43" t="s">
        <v>155</v>
      </c>
      <c r="H213" s="43" t="s">
        <v>92</v>
      </c>
      <c r="I213" s="43">
        <v>5</v>
      </c>
      <c r="J213" s="43">
        <v>560</v>
      </c>
      <c r="K213" s="43">
        <v>0</v>
      </c>
      <c r="L213" s="44">
        <v>45641</v>
      </c>
      <c r="M213" s="43" t="s">
        <v>1646</v>
      </c>
      <c r="N213" s="43" t="s">
        <v>25</v>
      </c>
      <c r="O213" s="43" t="s">
        <v>174</v>
      </c>
      <c r="P213" s="43">
        <v>2</v>
      </c>
      <c r="Q213" s="45">
        <v>2800</v>
      </c>
      <c r="R213" s="45">
        <v>0</v>
      </c>
      <c r="S213" s="45">
        <v>2800</v>
      </c>
    </row>
    <row r="214" spans="1:19" x14ac:dyDescent="0.3">
      <c r="A214" s="21">
        <v>10213</v>
      </c>
      <c r="B214" s="21" t="s">
        <v>1805</v>
      </c>
      <c r="C214" s="21" t="s">
        <v>1806</v>
      </c>
      <c r="D214" s="21">
        <v>9165427895</v>
      </c>
      <c r="E214" s="21" t="s">
        <v>74</v>
      </c>
      <c r="F214" s="21" t="s">
        <v>75</v>
      </c>
      <c r="G214" s="43" t="s">
        <v>368</v>
      </c>
      <c r="H214" s="43" t="s">
        <v>22</v>
      </c>
      <c r="I214" s="43">
        <v>2</v>
      </c>
      <c r="J214" s="43">
        <v>975</v>
      </c>
      <c r="K214" s="43">
        <v>20</v>
      </c>
      <c r="L214" s="44">
        <v>45574</v>
      </c>
      <c r="M214" s="43" t="s">
        <v>43</v>
      </c>
      <c r="N214" s="43" t="s">
        <v>25</v>
      </c>
      <c r="O214" s="43" t="s">
        <v>174</v>
      </c>
      <c r="P214" s="43" t="s">
        <v>1813</v>
      </c>
      <c r="Q214" s="45">
        <v>1950</v>
      </c>
      <c r="R214" s="45">
        <v>390</v>
      </c>
      <c r="S214" s="45">
        <v>1560</v>
      </c>
    </row>
    <row r="215" spans="1:19" x14ac:dyDescent="0.3">
      <c r="A215" s="21">
        <v>10214</v>
      </c>
      <c r="B215" s="21" t="s">
        <v>1676</v>
      </c>
      <c r="C215" s="21" t="s">
        <v>1020</v>
      </c>
      <c r="D215" s="21">
        <v>9324645751</v>
      </c>
      <c r="E215" s="21" t="s">
        <v>279</v>
      </c>
      <c r="F215" s="21" t="s">
        <v>259</v>
      </c>
      <c r="G215" s="43" t="s">
        <v>280</v>
      </c>
      <c r="H215" s="43" t="s">
        <v>41</v>
      </c>
      <c r="I215" s="43">
        <v>5</v>
      </c>
      <c r="J215" s="43">
        <v>193</v>
      </c>
      <c r="K215" s="43">
        <v>20</v>
      </c>
      <c r="L215" s="44">
        <v>45446</v>
      </c>
      <c r="M215" s="43" t="s">
        <v>24</v>
      </c>
      <c r="N215" s="43" t="s">
        <v>25</v>
      </c>
      <c r="O215" s="43" t="s">
        <v>174</v>
      </c>
      <c r="P215" s="43">
        <v>1</v>
      </c>
      <c r="Q215" s="45">
        <v>965</v>
      </c>
      <c r="R215" s="45">
        <v>193</v>
      </c>
      <c r="S215" s="45">
        <v>772</v>
      </c>
    </row>
    <row r="216" spans="1:19" x14ac:dyDescent="0.3">
      <c r="A216" s="21">
        <v>10215</v>
      </c>
      <c r="B216" s="21" t="s">
        <v>923</v>
      </c>
      <c r="C216" s="21" t="s">
        <v>1768</v>
      </c>
      <c r="D216" s="21">
        <v>9239729505</v>
      </c>
      <c r="E216" s="21" t="s">
        <v>74</v>
      </c>
      <c r="F216" s="21" t="s">
        <v>75</v>
      </c>
      <c r="G216" s="43" t="s">
        <v>204</v>
      </c>
      <c r="H216" s="43" t="s">
        <v>143</v>
      </c>
      <c r="I216" s="43">
        <v>3</v>
      </c>
      <c r="J216" s="43">
        <v>344</v>
      </c>
      <c r="K216" s="43">
        <v>0</v>
      </c>
      <c r="L216" s="44">
        <v>45657</v>
      </c>
      <c r="M216" s="43" t="s">
        <v>69</v>
      </c>
      <c r="N216" s="43" t="s">
        <v>25</v>
      </c>
      <c r="O216" s="43" t="s">
        <v>34</v>
      </c>
      <c r="P216" s="43">
        <v>1</v>
      </c>
      <c r="Q216" s="45">
        <v>1032</v>
      </c>
      <c r="R216" s="45">
        <v>0</v>
      </c>
      <c r="S216" s="45">
        <v>1032</v>
      </c>
    </row>
    <row r="217" spans="1:19" x14ac:dyDescent="0.3">
      <c r="A217" s="21">
        <v>10216</v>
      </c>
      <c r="B217" s="21" t="s">
        <v>295</v>
      </c>
      <c r="C217" s="21" t="s">
        <v>1654</v>
      </c>
      <c r="D217" s="21">
        <v>9294535427</v>
      </c>
      <c r="E217" s="21" t="s">
        <v>57</v>
      </c>
      <c r="F217" s="21" t="s">
        <v>50</v>
      </c>
      <c r="G217" s="43" t="s">
        <v>226</v>
      </c>
      <c r="H217" s="43" t="s">
        <v>22</v>
      </c>
      <c r="I217" s="43">
        <v>5</v>
      </c>
      <c r="J217" s="43">
        <v>1777</v>
      </c>
      <c r="K217" s="43">
        <v>0</v>
      </c>
      <c r="L217" s="44">
        <v>45405</v>
      </c>
      <c r="M217" s="43" t="s">
        <v>69</v>
      </c>
      <c r="N217" s="43" t="s">
        <v>25</v>
      </c>
      <c r="O217" s="43" t="s">
        <v>34</v>
      </c>
      <c r="P217" s="43">
        <v>3</v>
      </c>
      <c r="Q217" s="45">
        <v>8885</v>
      </c>
      <c r="R217" s="45">
        <v>0</v>
      </c>
      <c r="S217" s="45">
        <v>8885</v>
      </c>
    </row>
    <row r="218" spans="1:19" x14ac:dyDescent="0.3">
      <c r="A218" s="21">
        <v>10217</v>
      </c>
      <c r="B218" s="21" t="s">
        <v>870</v>
      </c>
      <c r="C218" s="21" t="s">
        <v>1761</v>
      </c>
      <c r="D218" s="21" t="s">
        <v>1812</v>
      </c>
      <c r="E218" s="21" t="s">
        <v>197</v>
      </c>
      <c r="F218" s="21" t="s">
        <v>191</v>
      </c>
      <c r="G218" s="43" t="s">
        <v>368</v>
      </c>
      <c r="H218" s="43" t="s">
        <v>22</v>
      </c>
      <c r="I218" s="43">
        <v>5</v>
      </c>
      <c r="J218" s="43">
        <v>1971</v>
      </c>
      <c r="K218" s="43">
        <v>0</v>
      </c>
      <c r="L218" s="44">
        <v>45358</v>
      </c>
      <c r="M218" s="43" t="s">
        <v>69</v>
      </c>
      <c r="N218" s="43" t="s">
        <v>25</v>
      </c>
      <c r="O218" s="43" t="s">
        <v>71</v>
      </c>
      <c r="P218" s="43">
        <v>5</v>
      </c>
      <c r="Q218" s="45">
        <v>9855</v>
      </c>
      <c r="R218" s="45">
        <v>0</v>
      </c>
      <c r="S218" s="45">
        <v>9855</v>
      </c>
    </row>
    <row r="219" spans="1:19" x14ac:dyDescent="0.3">
      <c r="A219" s="21">
        <v>10218</v>
      </c>
      <c r="B219" s="21" t="s">
        <v>901</v>
      </c>
      <c r="C219" s="21" t="s">
        <v>1764</v>
      </c>
      <c r="D219" s="21">
        <v>9410817778</v>
      </c>
      <c r="E219" s="21" t="s">
        <v>279</v>
      </c>
      <c r="F219" s="21" t="s">
        <v>259</v>
      </c>
      <c r="G219" s="43" t="s">
        <v>112</v>
      </c>
      <c r="H219" s="43" t="s">
        <v>83</v>
      </c>
      <c r="I219" s="43">
        <v>2</v>
      </c>
      <c r="J219" s="43">
        <v>19287</v>
      </c>
      <c r="K219" s="43">
        <v>5</v>
      </c>
      <c r="L219" s="44">
        <v>45580</v>
      </c>
      <c r="M219" s="43" t="s">
        <v>69</v>
      </c>
      <c r="N219" s="43" t="s">
        <v>25</v>
      </c>
      <c r="O219" s="43" t="s">
        <v>53</v>
      </c>
      <c r="P219" s="43">
        <v>5</v>
      </c>
      <c r="Q219" s="45">
        <v>38574</v>
      </c>
      <c r="R219" s="45">
        <v>1928.7</v>
      </c>
      <c r="S219" s="45">
        <v>36645.300000000003</v>
      </c>
    </row>
    <row r="220" spans="1:19" x14ac:dyDescent="0.3">
      <c r="A220" s="21">
        <v>10219</v>
      </c>
      <c r="B220" s="21" t="s">
        <v>1051</v>
      </c>
      <c r="C220" s="21" t="s">
        <v>1670</v>
      </c>
      <c r="D220" s="21">
        <v>9177931584</v>
      </c>
      <c r="E220" s="21" t="s">
        <v>197</v>
      </c>
      <c r="F220" s="21" t="s">
        <v>191</v>
      </c>
      <c r="G220" s="43" t="s">
        <v>231</v>
      </c>
      <c r="H220" s="43" t="s">
        <v>83</v>
      </c>
      <c r="I220" s="43">
        <v>3</v>
      </c>
      <c r="J220" s="43">
        <v>4447</v>
      </c>
      <c r="K220" s="43">
        <v>10</v>
      </c>
      <c r="L220" s="44">
        <v>45598</v>
      </c>
      <c r="M220" s="43" t="s">
        <v>1649</v>
      </c>
      <c r="N220" s="43" t="s">
        <v>25</v>
      </c>
      <c r="O220" s="43" t="s">
        <v>34</v>
      </c>
      <c r="P220" s="43" t="s">
        <v>1813</v>
      </c>
      <c r="Q220" s="45">
        <v>13341</v>
      </c>
      <c r="R220" s="45">
        <v>1334.1</v>
      </c>
      <c r="S220" s="45">
        <v>12006.9</v>
      </c>
    </row>
    <row r="221" spans="1:19" x14ac:dyDescent="0.3">
      <c r="A221" s="21">
        <v>10220</v>
      </c>
      <c r="B221" s="21" t="s">
        <v>1584</v>
      </c>
      <c r="C221" s="21" t="s">
        <v>1801</v>
      </c>
      <c r="D221" s="21">
        <v>9580678079</v>
      </c>
      <c r="E221" s="21" t="s">
        <v>38</v>
      </c>
      <c r="F221" s="21" t="s">
        <v>429</v>
      </c>
      <c r="G221" s="43" t="s">
        <v>411</v>
      </c>
      <c r="H221" s="43" t="s">
        <v>83</v>
      </c>
      <c r="I221" s="43">
        <v>3</v>
      </c>
      <c r="J221" s="43">
        <v>58493</v>
      </c>
      <c r="K221" s="43">
        <v>0</v>
      </c>
      <c r="L221" s="44">
        <v>45502</v>
      </c>
      <c r="M221" s="43" t="s">
        <v>69</v>
      </c>
      <c r="N221" s="43" t="s">
        <v>25</v>
      </c>
      <c r="O221" s="43" t="s">
        <v>45</v>
      </c>
      <c r="P221" s="43">
        <v>1</v>
      </c>
      <c r="Q221" s="45">
        <v>175479</v>
      </c>
      <c r="R221" s="45">
        <v>0</v>
      </c>
      <c r="S221" s="45">
        <v>175479</v>
      </c>
    </row>
    <row r="222" spans="1:19" x14ac:dyDescent="0.3">
      <c r="A222" s="21">
        <v>10221</v>
      </c>
      <c r="B222" s="21" t="s">
        <v>807</v>
      </c>
      <c r="C222" s="21" t="s">
        <v>1753</v>
      </c>
      <c r="D222" s="21">
        <v>9944959645</v>
      </c>
      <c r="E222" s="21" t="s">
        <v>111</v>
      </c>
      <c r="F222" s="21" t="s">
        <v>111</v>
      </c>
      <c r="G222" s="43" t="s">
        <v>155</v>
      </c>
      <c r="H222" s="43" t="s">
        <v>92</v>
      </c>
      <c r="I222" s="43">
        <v>5</v>
      </c>
      <c r="J222" s="43">
        <v>1319</v>
      </c>
      <c r="K222" s="43">
        <v>0</v>
      </c>
      <c r="L222" s="44">
        <v>45301</v>
      </c>
      <c r="M222" s="43" t="s">
        <v>43</v>
      </c>
      <c r="N222" s="43" t="s">
        <v>25</v>
      </c>
      <c r="O222" s="43" t="s">
        <v>34</v>
      </c>
      <c r="P222" s="43">
        <v>2</v>
      </c>
      <c r="Q222" s="45">
        <v>6595</v>
      </c>
      <c r="R222" s="45">
        <v>0</v>
      </c>
      <c r="S222" s="45">
        <v>6595</v>
      </c>
    </row>
    <row r="223" spans="1:19" x14ac:dyDescent="0.3">
      <c r="A223" s="21">
        <v>10222</v>
      </c>
      <c r="B223" s="21" t="s">
        <v>1691</v>
      </c>
      <c r="C223" s="21" t="s">
        <v>1692</v>
      </c>
      <c r="D223" s="21">
        <v>9614743028</v>
      </c>
      <c r="E223" s="21" t="s">
        <v>111</v>
      </c>
      <c r="F223" s="21" t="s">
        <v>111</v>
      </c>
      <c r="G223" s="43" t="s">
        <v>226</v>
      </c>
      <c r="H223" s="43" t="s">
        <v>22</v>
      </c>
      <c r="I223" s="43">
        <v>4</v>
      </c>
      <c r="J223" s="43">
        <v>878</v>
      </c>
      <c r="K223" s="43">
        <v>10</v>
      </c>
      <c r="L223" s="44">
        <v>45379</v>
      </c>
      <c r="M223" s="43" t="s">
        <v>1649</v>
      </c>
      <c r="N223" s="43" t="s">
        <v>25</v>
      </c>
      <c r="O223" s="43" t="s">
        <v>45</v>
      </c>
      <c r="P223" s="43" t="s">
        <v>1813</v>
      </c>
      <c r="Q223" s="45">
        <v>3512</v>
      </c>
      <c r="R223" s="45">
        <v>351.2</v>
      </c>
      <c r="S223" s="45">
        <v>3160.8</v>
      </c>
    </row>
    <row r="224" spans="1:19" x14ac:dyDescent="0.3">
      <c r="A224" s="21">
        <v>10223</v>
      </c>
      <c r="B224" s="21" t="s">
        <v>1697</v>
      </c>
      <c r="C224" s="21" t="s">
        <v>1698</v>
      </c>
      <c r="D224" s="21">
        <v>9665078825</v>
      </c>
      <c r="E224" s="21" t="s">
        <v>371</v>
      </c>
      <c r="F224" s="21" t="s">
        <v>98</v>
      </c>
      <c r="G224" s="43" t="s">
        <v>161</v>
      </c>
      <c r="H224" s="43" t="s">
        <v>83</v>
      </c>
      <c r="I224" s="43">
        <v>3</v>
      </c>
      <c r="J224" s="43">
        <v>27196</v>
      </c>
      <c r="K224" s="43">
        <v>10</v>
      </c>
      <c r="L224" s="44">
        <v>45391</v>
      </c>
      <c r="M224" s="43" t="s">
        <v>1649</v>
      </c>
      <c r="N224" s="43" t="s">
        <v>25</v>
      </c>
      <c r="O224" s="43" t="s">
        <v>174</v>
      </c>
      <c r="P224" s="43">
        <v>2</v>
      </c>
      <c r="Q224" s="45">
        <v>81588</v>
      </c>
      <c r="R224" s="45">
        <v>8158.8</v>
      </c>
      <c r="S224" s="45">
        <v>73429.2</v>
      </c>
    </row>
    <row r="225" spans="1:19" x14ac:dyDescent="0.3">
      <c r="A225" s="21">
        <v>10224</v>
      </c>
      <c r="B225" s="21" t="s">
        <v>255</v>
      </c>
      <c r="C225" s="21" t="s">
        <v>1674</v>
      </c>
      <c r="D225" s="21">
        <v>9691446936</v>
      </c>
      <c r="E225" s="21" t="s">
        <v>279</v>
      </c>
      <c r="F225" s="21" t="s">
        <v>259</v>
      </c>
      <c r="G225" s="43" t="s">
        <v>368</v>
      </c>
      <c r="H225" s="43" t="s">
        <v>22</v>
      </c>
      <c r="I225" s="43">
        <v>2</v>
      </c>
      <c r="J225" s="43">
        <v>1095</v>
      </c>
      <c r="K225" s="43">
        <v>15</v>
      </c>
      <c r="L225" s="44">
        <v>45400</v>
      </c>
      <c r="M225" s="43" t="s">
        <v>1646</v>
      </c>
      <c r="N225" s="43" t="s">
        <v>25</v>
      </c>
      <c r="O225" s="43" t="s">
        <v>174</v>
      </c>
      <c r="P225" s="43">
        <v>1</v>
      </c>
      <c r="Q225" s="45">
        <v>2190</v>
      </c>
      <c r="R225" s="45">
        <v>328.5</v>
      </c>
      <c r="S225" s="45">
        <v>1861.5</v>
      </c>
    </row>
    <row r="226" spans="1:19" x14ac:dyDescent="0.3">
      <c r="A226" s="21">
        <v>10225</v>
      </c>
      <c r="B226" s="21" t="s">
        <v>1581</v>
      </c>
      <c r="C226" s="21" t="s">
        <v>1710</v>
      </c>
      <c r="D226" s="21">
        <v>9439212093</v>
      </c>
      <c r="E226" s="21" t="s">
        <v>38</v>
      </c>
      <c r="F226" s="21" t="s">
        <v>429</v>
      </c>
      <c r="G226" s="43" t="s">
        <v>106</v>
      </c>
      <c r="H226" s="43" t="s">
        <v>83</v>
      </c>
      <c r="I226" s="43">
        <v>2</v>
      </c>
      <c r="J226" s="43">
        <v>13633</v>
      </c>
      <c r="K226" s="43">
        <v>5</v>
      </c>
      <c r="L226" s="44">
        <v>45545</v>
      </c>
      <c r="M226" s="43" t="s">
        <v>1649</v>
      </c>
      <c r="N226" s="43" t="s">
        <v>25</v>
      </c>
      <c r="O226" s="43" t="s">
        <v>1641</v>
      </c>
      <c r="P226" s="43">
        <v>2</v>
      </c>
      <c r="Q226" s="45">
        <v>27266</v>
      </c>
      <c r="R226" s="45">
        <v>1363.3</v>
      </c>
      <c r="S226" s="45">
        <v>25902.7</v>
      </c>
    </row>
    <row r="227" spans="1:19" x14ac:dyDescent="0.3">
      <c r="A227" s="21">
        <v>10226</v>
      </c>
      <c r="B227" s="21" t="s">
        <v>574</v>
      </c>
      <c r="C227" s="21" t="s">
        <v>1708</v>
      </c>
      <c r="D227" s="21">
        <v>9750358361</v>
      </c>
      <c r="E227" s="21" t="s">
        <v>279</v>
      </c>
      <c r="F227" s="21" t="s">
        <v>259</v>
      </c>
      <c r="G227" s="43" t="s">
        <v>112</v>
      </c>
      <c r="H227" s="43" t="s">
        <v>83</v>
      </c>
      <c r="I227" s="43">
        <v>5</v>
      </c>
      <c r="J227" s="43">
        <v>14028</v>
      </c>
      <c r="K227" s="43">
        <v>5</v>
      </c>
      <c r="L227" s="44">
        <v>45393</v>
      </c>
      <c r="M227" s="43" t="s">
        <v>69</v>
      </c>
      <c r="N227" s="43" t="s">
        <v>25</v>
      </c>
      <c r="O227" s="43" t="s">
        <v>53</v>
      </c>
      <c r="P227" s="43">
        <v>3</v>
      </c>
      <c r="Q227" s="45">
        <v>70140</v>
      </c>
      <c r="R227" s="45">
        <v>3507</v>
      </c>
      <c r="S227" s="45">
        <v>66633</v>
      </c>
    </row>
    <row r="228" spans="1:19" x14ac:dyDescent="0.3">
      <c r="A228" s="21">
        <v>10227</v>
      </c>
      <c r="B228" s="21" t="s">
        <v>1716</v>
      </c>
      <c r="C228" s="21" t="s">
        <v>1717</v>
      </c>
      <c r="D228" s="21">
        <v>9785399767</v>
      </c>
      <c r="E228" s="21" t="s">
        <v>57</v>
      </c>
      <c r="F228" s="21" t="s">
        <v>50</v>
      </c>
      <c r="G228" s="43" t="s">
        <v>106</v>
      </c>
      <c r="H228" s="43" t="s">
        <v>83</v>
      </c>
      <c r="I228" s="43">
        <v>5</v>
      </c>
      <c r="J228" s="43">
        <v>8998</v>
      </c>
      <c r="K228" s="43">
        <v>15</v>
      </c>
      <c r="L228" s="44">
        <v>45406</v>
      </c>
      <c r="M228" s="43" t="s">
        <v>24</v>
      </c>
      <c r="N228" s="43" t="s">
        <v>25</v>
      </c>
      <c r="O228" s="43" t="s">
        <v>71</v>
      </c>
      <c r="P228" s="43">
        <v>4</v>
      </c>
      <c r="Q228" s="45">
        <v>44990</v>
      </c>
      <c r="R228" s="45">
        <v>6748.5</v>
      </c>
      <c r="S228" s="45">
        <v>38241.5</v>
      </c>
    </row>
    <row r="229" spans="1:19" x14ac:dyDescent="0.3">
      <c r="A229" s="21">
        <v>10228</v>
      </c>
      <c r="B229" s="21" t="s">
        <v>800</v>
      </c>
      <c r="C229" s="21" t="s">
        <v>1726</v>
      </c>
      <c r="D229" s="21">
        <v>9776391174</v>
      </c>
      <c r="E229" s="21" t="s">
        <v>172</v>
      </c>
      <c r="F229" s="21" t="s">
        <v>150</v>
      </c>
      <c r="G229" s="43" t="s">
        <v>112</v>
      </c>
      <c r="H229" s="43" t="s">
        <v>83</v>
      </c>
      <c r="I229" s="43">
        <v>1</v>
      </c>
      <c r="J229" s="43">
        <v>15519</v>
      </c>
      <c r="K229" s="43">
        <v>0</v>
      </c>
      <c r="L229" s="44">
        <v>45431</v>
      </c>
      <c r="M229" s="43" t="s">
        <v>1646</v>
      </c>
      <c r="N229" s="43" t="s">
        <v>25</v>
      </c>
      <c r="O229" s="43" t="s">
        <v>45</v>
      </c>
      <c r="P229" s="43">
        <v>4</v>
      </c>
      <c r="Q229" s="45">
        <v>15519</v>
      </c>
      <c r="R229" s="45">
        <v>0</v>
      </c>
      <c r="S229" s="45">
        <v>15519</v>
      </c>
    </row>
    <row r="230" spans="1:19" x14ac:dyDescent="0.3">
      <c r="A230" s="21">
        <v>10229</v>
      </c>
      <c r="B230" s="21" t="s">
        <v>1083</v>
      </c>
      <c r="C230" s="21" t="s">
        <v>729</v>
      </c>
      <c r="D230" s="21">
        <v>9343706034</v>
      </c>
      <c r="E230" s="21" t="s">
        <v>38</v>
      </c>
      <c r="F230" s="21" t="s">
        <v>429</v>
      </c>
      <c r="G230" s="43" t="s">
        <v>226</v>
      </c>
      <c r="H230" s="43" t="s">
        <v>22</v>
      </c>
      <c r="I230" s="43">
        <v>4</v>
      </c>
      <c r="J230" s="43">
        <v>636</v>
      </c>
      <c r="K230" s="43">
        <v>5</v>
      </c>
      <c r="L230" s="44">
        <v>45510</v>
      </c>
      <c r="M230" s="43" t="s">
        <v>1649</v>
      </c>
      <c r="N230" s="43" t="s">
        <v>456</v>
      </c>
      <c r="O230" s="43" t="s">
        <v>174</v>
      </c>
      <c r="P230" s="43">
        <v>3</v>
      </c>
      <c r="Q230" s="45">
        <v>2544</v>
      </c>
      <c r="R230" s="45">
        <v>127.2</v>
      </c>
      <c r="S230" s="45">
        <v>2416.8000000000002</v>
      </c>
    </row>
    <row r="231" spans="1:19" x14ac:dyDescent="0.3">
      <c r="A231" s="21">
        <v>10230</v>
      </c>
      <c r="B231" s="21" t="s">
        <v>54</v>
      </c>
      <c r="C231" s="21" t="s">
        <v>1643</v>
      </c>
      <c r="D231" s="21">
        <v>9129827943</v>
      </c>
      <c r="E231" s="21" t="s">
        <v>57</v>
      </c>
      <c r="F231" s="21" t="s">
        <v>50</v>
      </c>
      <c r="G231" s="43" t="s">
        <v>151</v>
      </c>
      <c r="H231" s="43" t="s">
        <v>143</v>
      </c>
      <c r="I231" s="43">
        <v>5</v>
      </c>
      <c r="J231" s="43">
        <v>498</v>
      </c>
      <c r="K231" s="43">
        <v>10</v>
      </c>
      <c r="L231" s="44">
        <v>45390</v>
      </c>
      <c r="M231" s="43" t="s">
        <v>69</v>
      </c>
      <c r="N231" s="43" t="s">
        <v>25</v>
      </c>
      <c r="O231" s="43" t="s">
        <v>53</v>
      </c>
      <c r="P231" s="43" t="s">
        <v>1813</v>
      </c>
      <c r="Q231" s="45">
        <v>2490</v>
      </c>
      <c r="R231" s="45">
        <v>249</v>
      </c>
      <c r="S231" s="45">
        <v>2241</v>
      </c>
    </row>
    <row r="232" spans="1:19" x14ac:dyDescent="0.3">
      <c r="A232" s="21">
        <v>10231</v>
      </c>
      <c r="B232" s="21" t="s">
        <v>795</v>
      </c>
      <c r="C232" s="21" t="s">
        <v>1665</v>
      </c>
      <c r="D232" s="21">
        <v>9967774996</v>
      </c>
      <c r="E232" s="21" t="s">
        <v>343</v>
      </c>
      <c r="F232" s="21" t="s">
        <v>50</v>
      </c>
      <c r="G232" s="43" t="s">
        <v>155</v>
      </c>
      <c r="H232" s="43" t="s">
        <v>92</v>
      </c>
      <c r="I232" s="43">
        <v>5</v>
      </c>
      <c r="J232" s="43">
        <v>1184</v>
      </c>
      <c r="K232" s="43">
        <v>0</v>
      </c>
      <c r="L232" s="44">
        <v>45640</v>
      </c>
      <c r="M232" s="43" t="s">
        <v>69</v>
      </c>
      <c r="N232" s="43" t="s">
        <v>25</v>
      </c>
      <c r="O232" s="43" t="s">
        <v>45</v>
      </c>
      <c r="P232" s="43" t="s">
        <v>1813</v>
      </c>
      <c r="Q232" s="45">
        <v>5920</v>
      </c>
      <c r="R232" s="45">
        <v>0</v>
      </c>
      <c r="S232" s="45">
        <v>5920</v>
      </c>
    </row>
    <row r="233" spans="1:19" x14ac:dyDescent="0.3">
      <c r="A233" s="21">
        <v>10232</v>
      </c>
      <c r="B233" s="21" t="s">
        <v>1572</v>
      </c>
      <c r="C233" s="21" t="s">
        <v>1791</v>
      </c>
      <c r="D233" s="21">
        <v>9758369053</v>
      </c>
      <c r="E233" s="21" t="s">
        <v>371</v>
      </c>
      <c r="F233" s="21" t="s">
        <v>98</v>
      </c>
      <c r="G233" s="43" t="s">
        <v>198</v>
      </c>
      <c r="H233" s="43" t="s">
        <v>41</v>
      </c>
      <c r="I233" s="43">
        <v>3</v>
      </c>
      <c r="J233" s="43">
        <v>206</v>
      </c>
      <c r="K233" s="43">
        <v>5</v>
      </c>
      <c r="L233" s="44">
        <v>45338</v>
      </c>
      <c r="M233" s="43" t="s">
        <v>1646</v>
      </c>
      <c r="N233" s="43" t="s">
        <v>25</v>
      </c>
      <c r="O233" s="43" t="s">
        <v>174</v>
      </c>
      <c r="P233" s="43">
        <v>5</v>
      </c>
      <c r="Q233" s="45">
        <v>618</v>
      </c>
      <c r="R233" s="45">
        <v>30.9</v>
      </c>
      <c r="S233" s="45">
        <v>587.1</v>
      </c>
    </row>
    <row r="234" spans="1:19" x14ac:dyDescent="0.3">
      <c r="A234" s="21">
        <v>10233</v>
      </c>
      <c r="B234" s="21" t="s">
        <v>936</v>
      </c>
      <c r="C234" s="21" t="s">
        <v>1770</v>
      </c>
      <c r="D234" s="21">
        <v>9237916858</v>
      </c>
      <c r="E234" s="21" t="s">
        <v>279</v>
      </c>
      <c r="F234" s="21" t="s">
        <v>259</v>
      </c>
      <c r="G234" s="43" t="s">
        <v>204</v>
      </c>
      <c r="H234" s="43" t="s">
        <v>143</v>
      </c>
      <c r="I234" s="43">
        <v>1</v>
      </c>
      <c r="J234" s="43">
        <v>215</v>
      </c>
      <c r="K234" s="43">
        <v>0</v>
      </c>
      <c r="L234" s="44">
        <v>45528</v>
      </c>
      <c r="M234" s="43" t="s">
        <v>43</v>
      </c>
      <c r="N234" s="43" t="s">
        <v>25</v>
      </c>
      <c r="O234" s="43" t="s">
        <v>1641</v>
      </c>
      <c r="P234" s="43">
        <v>3</v>
      </c>
      <c r="Q234" s="45">
        <v>215</v>
      </c>
      <c r="R234" s="45">
        <v>0</v>
      </c>
      <c r="S234" s="45">
        <v>215</v>
      </c>
    </row>
    <row r="235" spans="1:19" x14ac:dyDescent="0.3">
      <c r="A235" s="21">
        <v>10234</v>
      </c>
      <c r="B235" s="21" t="s">
        <v>1110</v>
      </c>
      <c r="C235" s="21" t="s">
        <v>1750</v>
      </c>
      <c r="D235" s="21">
        <v>9132634873</v>
      </c>
      <c r="E235" s="21" t="s">
        <v>273</v>
      </c>
      <c r="F235" s="21" t="s">
        <v>50</v>
      </c>
      <c r="G235" s="43" t="s">
        <v>231</v>
      </c>
      <c r="H235" s="43" t="s">
        <v>83</v>
      </c>
      <c r="I235" s="43">
        <v>3</v>
      </c>
      <c r="J235" s="43">
        <v>2467</v>
      </c>
      <c r="K235" s="43">
        <v>0</v>
      </c>
      <c r="L235" s="44">
        <v>45607</v>
      </c>
      <c r="M235" s="43" t="s">
        <v>24</v>
      </c>
      <c r="N235" s="43" t="s">
        <v>456</v>
      </c>
      <c r="O235" s="43" t="s">
        <v>71</v>
      </c>
      <c r="P235" s="43" t="s">
        <v>1813</v>
      </c>
      <c r="Q235" s="45">
        <v>7401</v>
      </c>
      <c r="R235" s="45">
        <v>0</v>
      </c>
      <c r="S235" s="45">
        <v>7401</v>
      </c>
    </row>
    <row r="236" spans="1:19" x14ac:dyDescent="0.3">
      <c r="A236" s="21">
        <v>10235</v>
      </c>
      <c r="B236" s="21" t="s">
        <v>1137</v>
      </c>
      <c r="C236" s="21" t="s">
        <v>1784</v>
      </c>
      <c r="D236" s="21" t="s">
        <v>1812</v>
      </c>
      <c r="E236" s="21" t="s">
        <v>371</v>
      </c>
      <c r="F236" s="21" t="s">
        <v>98</v>
      </c>
      <c r="G236" s="43" t="s">
        <v>112</v>
      </c>
      <c r="H236" s="43" t="s">
        <v>83</v>
      </c>
      <c r="I236" s="43">
        <v>2</v>
      </c>
      <c r="J236" s="43">
        <v>24058</v>
      </c>
      <c r="K236" s="43">
        <v>20</v>
      </c>
      <c r="L236" s="44">
        <v>45391</v>
      </c>
      <c r="M236" s="43" t="s">
        <v>69</v>
      </c>
      <c r="N236" s="43" t="s">
        <v>25</v>
      </c>
      <c r="O236" s="43" t="s">
        <v>45</v>
      </c>
      <c r="P236" s="43">
        <v>5</v>
      </c>
      <c r="Q236" s="45">
        <v>48116</v>
      </c>
      <c r="R236" s="45">
        <v>9623.2000000000007</v>
      </c>
      <c r="S236" s="45">
        <v>38492.800000000003</v>
      </c>
    </row>
    <row r="237" spans="1:19" x14ac:dyDescent="0.3">
      <c r="A237" s="21">
        <v>10236</v>
      </c>
      <c r="B237" s="21" t="s">
        <v>1043</v>
      </c>
      <c r="C237" s="21" t="s">
        <v>1741</v>
      </c>
      <c r="D237" s="21" t="s">
        <v>1812</v>
      </c>
      <c r="E237" s="21" t="s">
        <v>343</v>
      </c>
      <c r="F237" s="21" t="s">
        <v>50</v>
      </c>
      <c r="G237" s="43" t="s">
        <v>204</v>
      </c>
      <c r="H237" s="43" t="s">
        <v>143</v>
      </c>
      <c r="I237" s="43">
        <v>2</v>
      </c>
      <c r="J237" s="43">
        <v>179</v>
      </c>
      <c r="K237" s="43">
        <v>10</v>
      </c>
      <c r="L237" s="44">
        <v>45470</v>
      </c>
      <c r="M237" s="43" t="s">
        <v>1646</v>
      </c>
      <c r="N237" s="43" t="s">
        <v>119</v>
      </c>
      <c r="O237" s="43" t="s">
        <v>1641</v>
      </c>
      <c r="P237" s="43">
        <v>3</v>
      </c>
      <c r="Q237" s="45">
        <v>358</v>
      </c>
      <c r="R237" s="45">
        <v>35.799999999999997</v>
      </c>
      <c r="S237" s="45">
        <v>322.2</v>
      </c>
    </row>
    <row r="238" spans="1:19" x14ac:dyDescent="0.3">
      <c r="A238" s="21">
        <v>10237</v>
      </c>
      <c r="B238" s="21" t="s">
        <v>870</v>
      </c>
      <c r="C238" s="21" t="s">
        <v>1761</v>
      </c>
      <c r="D238" s="21">
        <v>9894214023</v>
      </c>
      <c r="E238" s="21" t="s">
        <v>279</v>
      </c>
      <c r="F238" s="21" t="s">
        <v>259</v>
      </c>
      <c r="G238" s="43" t="s">
        <v>155</v>
      </c>
      <c r="H238" s="43" t="s">
        <v>92</v>
      </c>
      <c r="I238" s="43">
        <v>3</v>
      </c>
      <c r="J238" s="43">
        <v>695</v>
      </c>
      <c r="K238" s="43">
        <v>0</v>
      </c>
      <c r="L238" s="44">
        <v>45304</v>
      </c>
      <c r="M238" s="43" t="s">
        <v>1646</v>
      </c>
      <c r="N238" s="43" t="s">
        <v>25</v>
      </c>
      <c r="O238" s="43" t="s">
        <v>174</v>
      </c>
      <c r="P238" s="43">
        <v>1</v>
      </c>
      <c r="Q238" s="45">
        <v>2085</v>
      </c>
      <c r="R238" s="45">
        <v>0</v>
      </c>
      <c r="S238" s="45">
        <v>2085</v>
      </c>
    </row>
    <row r="239" spans="1:19" x14ac:dyDescent="0.3">
      <c r="A239" s="21">
        <v>10238</v>
      </c>
      <c r="B239" s="21" t="s">
        <v>295</v>
      </c>
      <c r="C239" s="21" t="s">
        <v>1654</v>
      </c>
      <c r="D239" s="21">
        <v>9818147934</v>
      </c>
      <c r="E239" s="21" t="s">
        <v>219</v>
      </c>
      <c r="F239" s="21" t="s">
        <v>150</v>
      </c>
      <c r="G239" s="43" t="s">
        <v>368</v>
      </c>
      <c r="H239" s="43" t="s">
        <v>22</v>
      </c>
      <c r="I239" s="43">
        <v>3</v>
      </c>
      <c r="J239" s="43">
        <v>1886</v>
      </c>
      <c r="K239" s="43">
        <v>10</v>
      </c>
      <c r="L239" s="44">
        <v>45379</v>
      </c>
      <c r="M239" s="43" t="s">
        <v>1646</v>
      </c>
      <c r="N239" s="43" t="s">
        <v>25</v>
      </c>
      <c r="O239" s="43" t="s">
        <v>34</v>
      </c>
      <c r="P239" s="43">
        <v>3</v>
      </c>
      <c r="Q239" s="45">
        <v>5658</v>
      </c>
      <c r="R239" s="45">
        <v>565.79999999999995</v>
      </c>
      <c r="S239" s="45">
        <v>5092.2</v>
      </c>
    </row>
    <row r="240" spans="1:19" x14ac:dyDescent="0.3">
      <c r="A240" s="21">
        <v>10239</v>
      </c>
      <c r="B240" s="21" t="s">
        <v>940</v>
      </c>
      <c r="C240" s="21" t="s">
        <v>1724</v>
      </c>
      <c r="D240" s="21" t="s">
        <v>1812</v>
      </c>
      <c r="E240" s="21" t="s">
        <v>279</v>
      </c>
      <c r="F240" s="21" t="s">
        <v>259</v>
      </c>
      <c r="G240" s="43" t="s">
        <v>179</v>
      </c>
      <c r="H240" s="43" t="s">
        <v>60</v>
      </c>
      <c r="I240" s="43">
        <v>5</v>
      </c>
      <c r="J240" s="43">
        <v>648</v>
      </c>
      <c r="K240" s="43">
        <v>10</v>
      </c>
      <c r="L240" s="44">
        <v>45356</v>
      </c>
      <c r="M240" s="43" t="s">
        <v>43</v>
      </c>
      <c r="N240" s="43" t="s">
        <v>25</v>
      </c>
      <c r="O240" s="43" t="s">
        <v>174</v>
      </c>
      <c r="P240" s="43">
        <v>1</v>
      </c>
      <c r="Q240" s="45">
        <v>3240</v>
      </c>
      <c r="R240" s="45">
        <v>324</v>
      </c>
      <c r="S240" s="45">
        <v>2916</v>
      </c>
    </row>
    <row r="241" spans="1:19" x14ac:dyDescent="0.3">
      <c r="A241" s="21">
        <v>10240</v>
      </c>
      <c r="B241" s="21" t="s">
        <v>832</v>
      </c>
      <c r="C241" s="21" t="s">
        <v>1757</v>
      </c>
      <c r="D241" s="21" t="s">
        <v>1812</v>
      </c>
      <c r="E241" s="21" t="s">
        <v>172</v>
      </c>
      <c r="F241" s="21" t="s">
        <v>150</v>
      </c>
      <c r="G241" s="43" t="s">
        <v>198</v>
      </c>
      <c r="H241" s="43" t="s">
        <v>41</v>
      </c>
      <c r="I241" s="43">
        <v>1</v>
      </c>
      <c r="J241" s="43">
        <v>311</v>
      </c>
      <c r="K241" s="43">
        <v>5</v>
      </c>
      <c r="L241" s="44">
        <v>45356</v>
      </c>
      <c r="M241" s="43" t="s">
        <v>1649</v>
      </c>
      <c r="N241" s="43" t="s">
        <v>25</v>
      </c>
      <c r="O241" s="43" t="s">
        <v>1641</v>
      </c>
      <c r="P241" s="43" t="s">
        <v>1813</v>
      </c>
      <c r="Q241" s="45">
        <v>311</v>
      </c>
      <c r="R241" s="45">
        <v>15.55</v>
      </c>
      <c r="S241" s="45">
        <v>295.45</v>
      </c>
    </row>
    <row r="242" spans="1:19" x14ac:dyDescent="0.3">
      <c r="A242" s="21">
        <v>10241</v>
      </c>
      <c r="B242" s="21" t="s">
        <v>187</v>
      </c>
      <c r="C242" s="21" t="s">
        <v>1663</v>
      </c>
      <c r="D242" s="21" t="s">
        <v>1812</v>
      </c>
      <c r="E242" s="21" t="s">
        <v>197</v>
      </c>
      <c r="F242" s="21" t="s">
        <v>191</v>
      </c>
      <c r="G242" s="43" t="s">
        <v>151</v>
      </c>
      <c r="H242" s="43" t="s">
        <v>143</v>
      </c>
      <c r="I242" s="43">
        <v>2</v>
      </c>
      <c r="J242" s="43">
        <v>960</v>
      </c>
      <c r="K242" s="43">
        <v>5</v>
      </c>
      <c r="L242" s="44">
        <v>45648</v>
      </c>
      <c r="M242" s="43" t="s">
        <v>1649</v>
      </c>
      <c r="N242" s="43" t="s">
        <v>25</v>
      </c>
      <c r="O242" s="43" t="s">
        <v>34</v>
      </c>
      <c r="P242" s="43" t="s">
        <v>1813</v>
      </c>
      <c r="Q242" s="45">
        <v>1920</v>
      </c>
      <c r="R242" s="45">
        <v>96</v>
      </c>
      <c r="S242" s="45">
        <v>1824</v>
      </c>
    </row>
    <row r="243" spans="1:19" x14ac:dyDescent="0.3">
      <c r="A243" s="21">
        <v>10242</v>
      </c>
      <c r="B243" s="21" t="s">
        <v>1722</v>
      </c>
      <c r="C243" s="21" t="s">
        <v>583</v>
      </c>
      <c r="D243" s="21">
        <v>9980643798</v>
      </c>
      <c r="E243" s="21" t="s">
        <v>371</v>
      </c>
      <c r="F243" s="21" t="s">
        <v>98</v>
      </c>
      <c r="G243" s="43" t="s">
        <v>179</v>
      </c>
      <c r="H243" s="43" t="s">
        <v>60</v>
      </c>
      <c r="I243" s="43">
        <v>4</v>
      </c>
      <c r="J243" s="43">
        <v>376</v>
      </c>
      <c r="K243" s="43">
        <v>5</v>
      </c>
      <c r="L243" s="44">
        <v>45313</v>
      </c>
      <c r="M243" s="43" t="s">
        <v>1646</v>
      </c>
      <c r="N243" s="43" t="s">
        <v>25</v>
      </c>
      <c r="O243" s="43" t="s">
        <v>34</v>
      </c>
      <c r="P243" s="43">
        <v>5</v>
      </c>
      <c r="Q243" s="45">
        <v>1504</v>
      </c>
      <c r="R243" s="45">
        <v>75.2</v>
      </c>
      <c r="S243" s="45">
        <v>1428.8</v>
      </c>
    </row>
    <row r="244" spans="1:19" x14ac:dyDescent="0.3">
      <c r="A244" s="21">
        <v>10243</v>
      </c>
      <c r="B244" s="21" t="s">
        <v>244</v>
      </c>
      <c r="C244" s="21" t="s">
        <v>1645</v>
      </c>
      <c r="D244" s="21">
        <v>9211197032</v>
      </c>
      <c r="E244" s="21" t="s">
        <v>371</v>
      </c>
      <c r="F244" s="21" t="s">
        <v>98</v>
      </c>
      <c r="G244" s="43" t="s">
        <v>21</v>
      </c>
      <c r="H244" s="43" t="s">
        <v>22</v>
      </c>
      <c r="I244" s="43">
        <v>1</v>
      </c>
      <c r="J244" s="43">
        <v>1205</v>
      </c>
      <c r="K244" s="43">
        <v>15</v>
      </c>
      <c r="L244" s="44">
        <v>45317</v>
      </c>
      <c r="M244" s="43" t="s">
        <v>1649</v>
      </c>
      <c r="N244" s="43" t="s">
        <v>25</v>
      </c>
      <c r="O244" s="43" t="s">
        <v>71</v>
      </c>
      <c r="P244" s="43">
        <v>1</v>
      </c>
      <c r="Q244" s="45">
        <v>1205</v>
      </c>
      <c r="R244" s="45">
        <v>180.75</v>
      </c>
      <c r="S244" s="45">
        <v>1024.25</v>
      </c>
    </row>
    <row r="245" spans="1:19" x14ac:dyDescent="0.3">
      <c r="A245" s="21">
        <v>10244</v>
      </c>
      <c r="B245" s="21" t="s">
        <v>524</v>
      </c>
      <c r="C245" s="21" t="s">
        <v>1715</v>
      </c>
      <c r="D245" s="21" t="s">
        <v>1812</v>
      </c>
      <c r="E245" s="21" t="s">
        <v>343</v>
      </c>
      <c r="F245" s="21" t="s">
        <v>50</v>
      </c>
      <c r="G245" s="43" t="s">
        <v>368</v>
      </c>
      <c r="H245" s="43" t="s">
        <v>22</v>
      </c>
      <c r="I245" s="43">
        <v>1</v>
      </c>
      <c r="J245" s="43">
        <v>2027</v>
      </c>
      <c r="K245" s="43">
        <v>0</v>
      </c>
      <c r="L245" s="44">
        <v>45411</v>
      </c>
      <c r="M245" s="43" t="s">
        <v>1646</v>
      </c>
      <c r="N245" s="43" t="s">
        <v>25</v>
      </c>
      <c r="O245" s="43" t="s">
        <v>174</v>
      </c>
      <c r="P245" s="43">
        <v>1</v>
      </c>
      <c r="Q245" s="45">
        <v>2027</v>
      </c>
      <c r="R245" s="45">
        <v>0</v>
      </c>
      <c r="S245" s="45">
        <v>2027</v>
      </c>
    </row>
    <row r="246" spans="1:19" x14ac:dyDescent="0.3">
      <c r="A246" s="21">
        <v>10245</v>
      </c>
      <c r="B246" s="21" t="s">
        <v>26</v>
      </c>
      <c r="C246" s="21" t="s">
        <v>1642</v>
      </c>
      <c r="D246" s="21">
        <v>9767283756</v>
      </c>
      <c r="E246" s="21" t="s">
        <v>391</v>
      </c>
      <c r="F246" s="21" t="s">
        <v>90</v>
      </c>
      <c r="G246" s="43" t="s">
        <v>21</v>
      </c>
      <c r="H246" s="43" t="s">
        <v>22</v>
      </c>
      <c r="I246" s="43">
        <v>4</v>
      </c>
      <c r="J246" s="43">
        <v>1233</v>
      </c>
      <c r="K246" s="43">
        <v>0</v>
      </c>
      <c r="L246" s="44">
        <v>45573</v>
      </c>
      <c r="M246" s="43" t="s">
        <v>69</v>
      </c>
      <c r="N246" s="43" t="s">
        <v>25</v>
      </c>
      <c r="O246" s="43" t="s">
        <v>34</v>
      </c>
      <c r="P246" s="43" t="s">
        <v>1813</v>
      </c>
      <c r="Q246" s="45">
        <v>4932</v>
      </c>
      <c r="R246" s="45">
        <v>0</v>
      </c>
      <c r="S246" s="45">
        <v>4932</v>
      </c>
    </row>
    <row r="247" spans="1:19" x14ac:dyDescent="0.3">
      <c r="A247" s="21">
        <v>10246</v>
      </c>
      <c r="B247" s="21" t="s">
        <v>658</v>
      </c>
      <c r="C247" s="21" t="s">
        <v>1796</v>
      </c>
      <c r="D247" s="21" t="s">
        <v>1812</v>
      </c>
      <c r="E247" s="21" t="s">
        <v>57</v>
      </c>
      <c r="F247" s="21" t="s">
        <v>50</v>
      </c>
      <c r="G247" s="43" t="s">
        <v>231</v>
      </c>
      <c r="H247" s="43" t="s">
        <v>83</v>
      </c>
      <c r="I247" s="43">
        <v>4</v>
      </c>
      <c r="J247" s="43">
        <v>1835</v>
      </c>
      <c r="K247" s="43">
        <v>5</v>
      </c>
      <c r="L247" s="44">
        <v>45529</v>
      </c>
      <c r="M247" s="43" t="s">
        <v>43</v>
      </c>
      <c r="N247" s="43" t="s">
        <v>25</v>
      </c>
      <c r="O247" s="43" t="s">
        <v>34</v>
      </c>
      <c r="P247" s="43">
        <v>2</v>
      </c>
      <c r="Q247" s="45">
        <v>7340</v>
      </c>
      <c r="R247" s="45">
        <v>367</v>
      </c>
      <c r="S247" s="45">
        <v>6973</v>
      </c>
    </row>
    <row r="248" spans="1:19" x14ac:dyDescent="0.3">
      <c r="A248" s="21">
        <v>10247</v>
      </c>
      <c r="B248" s="21" t="s">
        <v>1046</v>
      </c>
      <c r="C248" s="21" t="s">
        <v>1777</v>
      </c>
      <c r="D248" s="21">
        <v>9856811521</v>
      </c>
      <c r="E248" s="21" t="s">
        <v>343</v>
      </c>
      <c r="F248" s="21" t="s">
        <v>50</v>
      </c>
      <c r="G248" s="43" t="s">
        <v>411</v>
      </c>
      <c r="H248" s="43" t="s">
        <v>83</v>
      </c>
      <c r="I248" s="43">
        <v>5</v>
      </c>
      <c r="J248" s="43">
        <v>61061</v>
      </c>
      <c r="K248" s="43">
        <v>0</v>
      </c>
      <c r="L248" s="44">
        <v>45624</v>
      </c>
      <c r="M248" s="43" t="s">
        <v>1649</v>
      </c>
      <c r="N248" s="43" t="s">
        <v>25</v>
      </c>
      <c r="O248" s="43" t="s">
        <v>71</v>
      </c>
      <c r="P248" s="43">
        <v>5</v>
      </c>
      <c r="Q248" s="45">
        <v>305305</v>
      </c>
      <c r="R248" s="45">
        <v>0</v>
      </c>
      <c r="S248" s="45">
        <v>305305</v>
      </c>
    </row>
    <row r="249" spans="1:19" x14ac:dyDescent="0.3">
      <c r="A249" s="21">
        <v>10248</v>
      </c>
      <c r="B249" s="21" t="s">
        <v>95</v>
      </c>
      <c r="C249" s="21" t="s">
        <v>1648</v>
      </c>
      <c r="D249" s="21">
        <v>9655260468</v>
      </c>
      <c r="E249" s="21" t="s">
        <v>371</v>
      </c>
      <c r="F249" s="21" t="s">
        <v>98</v>
      </c>
      <c r="G249" s="43" t="s">
        <v>179</v>
      </c>
      <c r="H249" s="43" t="s">
        <v>60</v>
      </c>
      <c r="I249" s="43">
        <v>2</v>
      </c>
      <c r="J249" s="43">
        <v>250</v>
      </c>
      <c r="K249" s="43">
        <v>0</v>
      </c>
      <c r="L249" s="44">
        <v>45650</v>
      </c>
      <c r="M249" s="43" t="s">
        <v>69</v>
      </c>
      <c r="N249" s="43" t="s">
        <v>25</v>
      </c>
      <c r="O249" s="43" t="s">
        <v>1641</v>
      </c>
      <c r="P249" s="43">
        <v>5</v>
      </c>
      <c r="Q249" s="45">
        <v>500</v>
      </c>
      <c r="R249" s="45">
        <v>0</v>
      </c>
      <c r="S249" s="45">
        <v>500</v>
      </c>
    </row>
    <row r="250" spans="1:19" x14ac:dyDescent="0.3">
      <c r="A250" s="21">
        <v>10249</v>
      </c>
      <c r="B250" s="21" t="s">
        <v>1739</v>
      </c>
      <c r="C250" s="21" t="s">
        <v>1740</v>
      </c>
      <c r="D250" s="21">
        <v>9413275359</v>
      </c>
      <c r="E250" s="21" t="s">
        <v>343</v>
      </c>
      <c r="F250" s="21" t="s">
        <v>50</v>
      </c>
      <c r="G250" s="43" t="s">
        <v>198</v>
      </c>
      <c r="H250" s="43" t="s">
        <v>41</v>
      </c>
      <c r="I250" s="43">
        <v>1</v>
      </c>
      <c r="J250" s="43">
        <v>202</v>
      </c>
      <c r="K250" s="43">
        <v>0</v>
      </c>
      <c r="L250" s="44">
        <v>45295</v>
      </c>
      <c r="M250" s="43" t="s">
        <v>1649</v>
      </c>
      <c r="N250" s="43" t="s">
        <v>25</v>
      </c>
      <c r="O250" s="43" t="s">
        <v>34</v>
      </c>
      <c r="P250" s="43" t="s">
        <v>1813</v>
      </c>
      <c r="Q250" s="45">
        <v>202</v>
      </c>
      <c r="R250" s="45">
        <v>0</v>
      </c>
      <c r="S250" s="45">
        <v>202</v>
      </c>
    </row>
    <row r="251" spans="1:19" x14ac:dyDescent="0.3">
      <c r="A251" s="21">
        <v>10250</v>
      </c>
      <c r="B251" s="21" t="s">
        <v>1167</v>
      </c>
      <c r="C251" s="21" t="s">
        <v>1675</v>
      </c>
      <c r="D251" s="21" t="s">
        <v>1812</v>
      </c>
      <c r="E251" s="21" t="s">
        <v>57</v>
      </c>
      <c r="F251" s="21" t="s">
        <v>50</v>
      </c>
      <c r="G251" s="43" t="s">
        <v>161</v>
      </c>
      <c r="H251" s="43" t="s">
        <v>83</v>
      </c>
      <c r="I251" s="43">
        <v>5</v>
      </c>
      <c r="J251" s="43">
        <v>16603</v>
      </c>
      <c r="K251" s="43">
        <v>10</v>
      </c>
      <c r="L251" s="44">
        <v>45473</v>
      </c>
      <c r="M251" s="43" t="s">
        <v>1646</v>
      </c>
      <c r="N251" s="43" t="s">
        <v>25</v>
      </c>
      <c r="O251" s="43" t="s">
        <v>174</v>
      </c>
      <c r="P251" s="43" t="s">
        <v>1813</v>
      </c>
      <c r="Q251" s="45">
        <v>83015</v>
      </c>
      <c r="R251" s="45">
        <v>8301.5</v>
      </c>
      <c r="S251" s="45">
        <v>74713.5</v>
      </c>
    </row>
    <row r="252" spans="1:19" x14ac:dyDescent="0.3">
      <c r="A252" s="21">
        <v>10251</v>
      </c>
      <c r="B252" s="21" t="s">
        <v>1785</v>
      </c>
      <c r="C252" s="21" t="s">
        <v>1786</v>
      </c>
      <c r="D252" s="21">
        <v>9514453341</v>
      </c>
      <c r="E252" s="21" t="s">
        <v>219</v>
      </c>
      <c r="F252" s="21" t="s">
        <v>150</v>
      </c>
      <c r="G252" s="43" t="s">
        <v>204</v>
      </c>
      <c r="H252" s="43" t="s">
        <v>143</v>
      </c>
      <c r="I252" s="43">
        <v>1</v>
      </c>
      <c r="J252" s="43">
        <v>572</v>
      </c>
      <c r="K252" s="43">
        <v>10</v>
      </c>
      <c r="L252" s="44">
        <v>45618</v>
      </c>
      <c r="M252" s="43" t="s">
        <v>1649</v>
      </c>
      <c r="N252" s="43" t="s">
        <v>25</v>
      </c>
      <c r="O252" s="43" t="s">
        <v>71</v>
      </c>
      <c r="P252" s="43">
        <v>3</v>
      </c>
      <c r="Q252" s="45">
        <v>572</v>
      </c>
      <c r="R252" s="45">
        <v>57.2</v>
      </c>
      <c r="S252" s="45">
        <v>514.79999999999995</v>
      </c>
    </row>
    <row r="253" spans="1:19" x14ac:dyDescent="0.3">
      <c r="A253" s="21">
        <v>10252</v>
      </c>
      <c r="B253" s="21" t="s">
        <v>631</v>
      </c>
      <c r="C253" s="21" t="s">
        <v>1731</v>
      </c>
      <c r="D253" s="21">
        <v>9455051388</v>
      </c>
      <c r="E253" s="21" t="s">
        <v>38</v>
      </c>
      <c r="F253" s="21" t="s">
        <v>429</v>
      </c>
      <c r="G253" s="43" t="s">
        <v>231</v>
      </c>
      <c r="H253" s="43" t="s">
        <v>83</v>
      </c>
      <c r="I253" s="43">
        <v>5</v>
      </c>
      <c r="J253" s="43">
        <v>3184</v>
      </c>
      <c r="K253" s="43">
        <v>0</v>
      </c>
      <c r="L253" s="44">
        <v>45366</v>
      </c>
      <c r="M253" s="43" t="s">
        <v>43</v>
      </c>
      <c r="N253" s="43" t="s">
        <v>25</v>
      </c>
      <c r="O253" s="43" t="s">
        <v>1641</v>
      </c>
      <c r="P253" s="43" t="s">
        <v>1813</v>
      </c>
      <c r="Q253" s="45">
        <v>15920</v>
      </c>
      <c r="R253" s="45">
        <v>0</v>
      </c>
      <c r="S253" s="45">
        <v>15920</v>
      </c>
    </row>
    <row r="254" spans="1:19" x14ac:dyDescent="0.3">
      <c r="A254" s="21">
        <v>10253</v>
      </c>
      <c r="B254" s="21" t="s">
        <v>800</v>
      </c>
      <c r="C254" s="21" t="s">
        <v>1726</v>
      </c>
      <c r="D254" s="21" t="s">
        <v>1812</v>
      </c>
      <c r="E254" s="21" t="s">
        <v>197</v>
      </c>
      <c r="F254" s="21" t="s">
        <v>191</v>
      </c>
      <c r="G254" s="43" t="s">
        <v>231</v>
      </c>
      <c r="H254" s="43" t="s">
        <v>83</v>
      </c>
      <c r="I254" s="43">
        <v>4</v>
      </c>
      <c r="J254" s="43">
        <v>3269</v>
      </c>
      <c r="K254" s="43">
        <v>0</v>
      </c>
      <c r="L254" s="44">
        <v>45567</v>
      </c>
      <c r="M254" s="43" t="s">
        <v>1649</v>
      </c>
      <c r="N254" s="43" t="s">
        <v>25</v>
      </c>
      <c r="O254" s="43" t="s">
        <v>174</v>
      </c>
      <c r="P254" s="43" t="s">
        <v>1813</v>
      </c>
      <c r="Q254" s="45">
        <v>13076</v>
      </c>
      <c r="R254" s="45">
        <v>0</v>
      </c>
      <c r="S254" s="45">
        <v>13076</v>
      </c>
    </row>
    <row r="255" spans="1:19" x14ac:dyDescent="0.3">
      <c r="A255" s="21">
        <v>10254</v>
      </c>
      <c r="B255" s="21" t="s">
        <v>911</v>
      </c>
      <c r="C255" s="21" t="s">
        <v>912</v>
      </c>
      <c r="D255" s="21">
        <v>9126942786</v>
      </c>
      <c r="E255" s="21" t="s">
        <v>74</v>
      </c>
      <c r="F255" s="21" t="s">
        <v>75</v>
      </c>
      <c r="G255" s="43" t="s">
        <v>151</v>
      </c>
      <c r="H255" s="43" t="s">
        <v>143</v>
      </c>
      <c r="I255" s="43">
        <v>4</v>
      </c>
      <c r="J255" s="43">
        <v>410</v>
      </c>
      <c r="K255" s="43">
        <v>20</v>
      </c>
      <c r="L255" s="44">
        <v>45638</v>
      </c>
      <c r="M255" s="43" t="s">
        <v>1649</v>
      </c>
      <c r="N255" s="43" t="s">
        <v>25</v>
      </c>
      <c r="O255" s="43" t="s">
        <v>53</v>
      </c>
      <c r="P255" s="43">
        <v>5</v>
      </c>
      <c r="Q255" s="45">
        <v>1640</v>
      </c>
      <c r="R255" s="45">
        <v>328</v>
      </c>
      <c r="S255" s="45">
        <v>1312</v>
      </c>
    </row>
    <row r="256" spans="1:19" x14ac:dyDescent="0.3">
      <c r="A256" s="21">
        <v>10255</v>
      </c>
      <c r="B256" s="21" t="s">
        <v>1093</v>
      </c>
      <c r="C256" s="21" t="s">
        <v>655</v>
      </c>
      <c r="D256" s="21">
        <v>9401608690</v>
      </c>
      <c r="E256" s="21" t="s">
        <v>273</v>
      </c>
      <c r="F256" s="21" t="s">
        <v>50</v>
      </c>
      <c r="G256" s="43" t="s">
        <v>179</v>
      </c>
      <c r="H256" s="43" t="s">
        <v>60</v>
      </c>
      <c r="I256" s="43">
        <v>4</v>
      </c>
      <c r="J256" s="43">
        <v>315</v>
      </c>
      <c r="K256" s="43">
        <v>10</v>
      </c>
      <c r="L256" s="44">
        <v>45525</v>
      </c>
      <c r="M256" s="43" t="s">
        <v>1649</v>
      </c>
      <c r="N256" s="43" t="s">
        <v>456</v>
      </c>
      <c r="O256" s="43" t="s">
        <v>71</v>
      </c>
      <c r="P256" s="43" t="s">
        <v>1813</v>
      </c>
      <c r="Q256" s="45">
        <v>1260</v>
      </c>
      <c r="R256" s="45">
        <v>126</v>
      </c>
      <c r="S256" s="45">
        <v>1134</v>
      </c>
    </row>
    <row r="257" spans="1:19" x14ac:dyDescent="0.3">
      <c r="A257" s="21">
        <v>10256</v>
      </c>
      <c r="B257" s="21" t="s">
        <v>404</v>
      </c>
      <c r="C257" s="21" t="s">
        <v>1695</v>
      </c>
      <c r="D257" s="21">
        <v>9974306861</v>
      </c>
      <c r="E257" s="21" t="s">
        <v>172</v>
      </c>
      <c r="F257" s="21" t="s">
        <v>150</v>
      </c>
      <c r="G257" s="43" t="s">
        <v>161</v>
      </c>
      <c r="H257" s="43" t="s">
        <v>83</v>
      </c>
      <c r="I257" s="43">
        <v>5</v>
      </c>
      <c r="J257" s="43">
        <v>19844</v>
      </c>
      <c r="K257" s="43">
        <v>0</v>
      </c>
      <c r="L257" s="44">
        <v>45551</v>
      </c>
      <c r="M257" s="43" t="s">
        <v>1646</v>
      </c>
      <c r="N257" s="43" t="s">
        <v>25</v>
      </c>
      <c r="O257" s="43" t="s">
        <v>174</v>
      </c>
      <c r="P257" s="43">
        <v>3</v>
      </c>
      <c r="Q257" s="45">
        <v>99220</v>
      </c>
      <c r="R257" s="45">
        <v>0</v>
      </c>
      <c r="S257" s="45">
        <v>99220</v>
      </c>
    </row>
    <row r="258" spans="1:19" x14ac:dyDescent="0.3">
      <c r="A258" s="21">
        <v>10257</v>
      </c>
      <c r="B258" s="21" t="s">
        <v>1702</v>
      </c>
      <c r="C258" s="21" t="s">
        <v>1703</v>
      </c>
      <c r="D258" s="21">
        <v>9837060301</v>
      </c>
      <c r="E258" s="21" t="s">
        <v>197</v>
      </c>
      <c r="F258" s="21" t="s">
        <v>191</v>
      </c>
      <c r="G258" s="43" t="s">
        <v>411</v>
      </c>
      <c r="H258" s="43" t="s">
        <v>83</v>
      </c>
      <c r="I258" s="43">
        <v>4</v>
      </c>
      <c r="J258" s="43">
        <v>62914</v>
      </c>
      <c r="K258" s="43">
        <v>5</v>
      </c>
      <c r="L258" s="44">
        <v>45652</v>
      </c>
      <c r="M258" s="43" t="s">
        <v>43</v>
      </c>
      <c r="N258" s="43" t="s">
        <v>25</v>
      </c>
      <c r="O258" s="43" t="s">
        <v>71</v>
      </c>
      <c r="P258" s="43">
        <v>1</v>
      </c>
      <c r="Q258" s="45">
        <v>251656</v>
      </c>
      <c r="R258" s="45">
        <v>12582.8</v>
      </c>
      <c r="S258" s="45">
        <v>239073.2</v>
      </c>
    </row>
    <row r="259" spans="1:19" x14ac:dyDescent="0.3">
      <c r="A259" s="21">
        <v>10258</v>
      </c>
      <c r="B259" s="21" t="s">
        <v>1668</v>
      </c>
      <c r="C259" s="21" t="s">
        <v>1669</v>
      </c>
      <c r="D259" s="21">
        <v>9776263723</v>
      </c>
      <c r="E259" s="21" t="s">
        <v>172</v>
      </c>
      <c r="F259" s="21" t="s">
        <v>150</v>
      </c>
      <c r="G259" s="43" t="s">
        <v>226</v>
      </c>
      <c r="H259" s="43" t="s">
        <v>22</v>
      </c>
      <c r="I259" s="43">
        <v>4</v>
      </c>
      <c r="J259" s="43">
        <v>823</v>
      </c>
      <c r="K259" s="43">
        <v>10</v>
      </c>
      <c r="L259" s="44">
        <v>45391</v>
      </c>
      <c r="M259" s="43" t="s">
        <v>1646</v>
      </c>
      <c r="N259" s="43" t="s">
        <v>119</v>
      </c>
      <c r="O259" s="43" t="s">
        <v>174</v>
      </c>
      <c r="P259" s="43">
        <v>5</v>
      </c>
      <c r="Q259" s="45">
        <v>3292</v>
      </c>
      <c r="R259" s="45">
        <v>329.2</v>
      </c>
      <c r="S259" s="45">
        <v>2962.8</v>
      </c>
    </row>
    <row r="260" spans="1:19" x14ac:dyDescent="0.3">
      <c r="A260" s="21">
        <v>10259</v>
      </c>
      <c r="B260" s="21" t="s">
        <v>763</v>
      </c>
      <c r="C260" s="21" t="s">
        <v>1662</v>
      </c>
      <c r="D260" s="21">
        <v>9338234664</v>
      </c>
      <c r="E260" s="21" t="s">
        <v>219</v>
      </c>
      <c r="F260" s="21" t="s">
        <v>150</v>
      </c>
      <c r="G260" s="43" t="s">
        <v>21</v>
      </c>
      <c r="H260" s="43" t="s">
        <v>22</v>
      </c>
      <c r="I260" s="43">
        <v>4</v>
      </c>
      <c r="J260" s="43">
        <v>836</v>
      </c>
      <c r="K260" s="43">
        <v>15</v>
      </c>
      <c r="L260" s="44">
        <v>45302</v>
      </c>
      <c r="M260" s="43" t="s">
        <v>43</v>
      </c>
      <c r="N260" s="43" t="s">
        <v>25</v>
      </c>
      <c r="O260" s="43" t="s">
        <v>53</v>
      </c>
      <c r="P260" s="43" t="s">
        <v>1813</v>
      </c>
      <c r="Q260" s="45">
        <v>3344</v>
      </c>
      <c r="R260" s="45">
        <v>501.6</v>
      </c>
      <c r="S260" s="45">
        <v>2842.4</v>
      </c>
    </row>
    <row r="261" spans="1:19" x14ac:dyDescent="0.3">
      <c r="A261" s="21">
        <v>10260</v>
      </c>
      <c r="B261" s="21" t="s">
        <v>26</v>
      </c>
      <c r="C261" s="21" t="s">
        <v>1642</v>
      </c>
      <c r="D261" s="21">
        <v>9823302432</v>
      </c>
      <c r="E261" s="21" t="s">
        <v>57</v>
      </c>
      <c r="F261" s="21" t="s">
        <v>50</v>
      </c>
      <c r="G261" s="43" t="s">
        <v>99</v>
      </c>
      <c r="H261" s="43" t="s">
        <v>92</v>
      </c>
      <c r="I261" s="43">
        <v>3</v>
      </c>
      <c r="J261" s="43">
        <v>1972</v>
      </c>
      <c r="K261" s="43">
        <v>0</v>
      </c>
      <c r="L261" s="44">
        <v>45484</v>
      </c>
      <c r="M261" s="43" t="s">
        <v>24</v>
      </c>
      <c r="N261" s="43" t="s">
        <v>25</v>
      </c>
      <c r="O261" s="43" t="s">
        <v>45</v>
      </c>
      <c r="P261" s="43">
        <v>3</v>
      </c>
      <c r="Q261" s="45">
        <v>5916</v>
      </c>
      <c r="R261" s="45">
        <v>0</v>
      </c>
      <c r="S261" s="45">
        <v>5916</v>
      </c>
    </row>
    <row r="262" spans="1:19" x14ac:dyDescent="0.3">
      <c r="A262" s="21">
        <v>10261</v>
      </c>
      <c r="B262" s="21" t="s">
        <v>1729</v>
      </c>
      <c r="C262" s="21" t="s">
        <v>1730</v>
      </c>
      <c r="D262" s="21">
        <v>9357774759</v>
      </c>
      <c r="E262" s="21" t="s">
        <v>74</v>
      </c>
      <c r="F262" s="21" t="s">
        <v>75</v>
      </c>
      <c r="G262" s="43" t="s">
        <v>99</v>
      </c>
      <c r="H262" s="43" t="s">
        <v>92</v>
      </c>
      <c r="I262" s="43">
        <v>1</v>
      </c>
      <c r="J262" s="43">
        <v>1666</v>
      </c>
      <c r="K262" s="43">
        <v>5</v>
      </c>
      <c r="L262" s="44">
        <v>45585</v>
      </c>
      <c r="M262" s="43" t="s">
        <v>24</v>
      </c>
      <c r="N262" s="43" t="s">
        <v>25</v>
      </c>
      <c r="O262" s="43" t="s">
        <v>45</v>
      </c>
      <c r="P262" s="43">
        <v>5</v>
      </c>
      <c r="Q262" s="45">
        <v>1666</v>
      </c>
      <c r="R262" s="45">
        <v>83.3</v>
      </c>
      <c r="S262" s="45">
        <v>1582.7</v>
      </c>
    </row>
    <row r="263" spans="1:19" x14ac:dyDescent="0.3">
      <c r="A263" s="21">
        <v>10262</v>
      </c>
      <c r="B263" s="21" t="s">
        <v>1072</v>
      </c>
      <c r="C263" s="21" t="s">
        <v>1712</v>
      </c>
      <c r="D263" s="21">
        <v>9178754203</v>
      </c>
      <c r="E263" s="21" t="s">
        <v>343</v>
      </c>
      <c r="F263" s="21" t="s">
        <v>50</v>
      </c>
      <c r="G263" s="43" t="s">
        <v>106</v>
      </c>
      <c r="H263" s="43" t="s">
        <v>83</v>
      </c>
      <c r="I263" s="43">
        <v>2</v>
      </c>
      <c r="J263" s="43">
        <v>12845</v>
      </c>
      <c r="K263" s="43">
        <v>5</v>
      </c>
      <c r="L263" s="44">
        <v>45396</v>
      </c>
      <c r="M263" s="43" t="s">
        <v>69</v>
      </c>
      <c r="N263" s="43" t="s">
        <v>25</v>
      </c>
      <c r="O263" s="43" t="s">
        <v>71</v>
      </c>
      <c r="P263" s="43">
        <v>2</v>
      </c>
      <c r="Q263" s="45">
        <v>25690</v>
      </c>
      <c r="R263" s="45">
        <v>1284.5</v>
      </c>
      <c r="S263" s="45">
        <v>24405.5</v>
      </c>
    </row>
    <row r="264" spans="1:19" x14ac:dyDescent="0.3">
      <c r="A264" s="21">
        <v>10263</v>
      </c>
      <c r="B264" s="21" t="s">
        <v>849</v>
      </c>
      <c r="C264" s="21" t="s">
        <v>1645</v>
      </c>
      <c r="D264" s="21">
        <v>9370298074</v>
      </c>
      <c r="E264" s="21" t="s">
        <v>279</v>
      </c>
      <c r="F264" s="21" t="s">
        <v>259</v>
      </c>
      <c r="G264" s="43" t="s">
        <v>231</v>
      </c>
      <c r="H264" s="43" t="s">
        <v>83</v>
      </c>
      <c r="I264" s="43">
        <v>3</v>
      </c>
      <c r="J264" s="43">
        <v>2576</v>
      </c>
      <c r="K264" s="43">
        <v>15</v>
      </c>
      <c r="L264" s="44">
        <v>45493</v>
      </c>
      <c r="M264" s="43" t="s">
        <v>1646</v>
      </c>
      <c r="N264" s="43" t="s">
        <v>456</v>
      </c>
      <c r="O264" s="43" t="s">
        <v>34</v>
      </c>
      <c r="P264" s="43" t="s">
        <v>1813</v>
      </c>
      <c r="Q264" s="45">
        <v>7728</v>
      </c>
      <c r="R264" s="45">
        <v>1159.2</v>
      </c>
      <c r="S264" s="45">
        <v>6568.8</v>
      </c>
    </row>
    <row r="265" spans="1:19" x14ac:dyDescent="0.3">
      <c r="A265" s="21">
        <v>10264</v>
      </c>
      <c r="B265" s="21" t="s">
        <v>1011</v>
      </c>
      <c r="C265" s="21" t="s">
        <v>1745</v>
      </c>
      <c r="D265" s="21">
        <v>9744136754</v>
      </c>
      <c r="E265" s="21" t="s">
        <v>74</v>
      </c>
      <c r="F265" s="21" t="s">
        <v>75</v>
      </c>
      <c r="G265" s="43" t="s">
        <v>21</v>
      </c>
      <c r="H265" s="43" t="s">
        <v>22</v>
      </c>
      <c r="I265" s="43">
        <v>4</v>
      </c>
      <c r="J265" s="43">
        <v>899</v>
      </c>
      <c r="K265" s="43">
        <v>15</v>
      </c>
      <c r="L265" s="44">
        <v>45338</v>
      </c>
      <c r="M265" s="43" t="s">
        <v>24</v>
      </c>
      <c r="N265" s="43" t="s">
        <v>25</v>
      </c>
      <c r="O265" s="43" t="s">
        <v>174</v>
      </c>
      <c r="P265" s="43">
        <v>4</v>
      </c>
      <c r="Q265" s="45">
        <v>3596</v>
      </c>
      <c r="R265" s="45">
        <v>539.4</v>
      </c>
      <c r="S265" s="45">
        <v>3056.6</v>
      </c>
    </row>
    <row r="266" spans="1:19" x14ac:dyDescent="0.3">
      <c r="A266" s="21">
        <v>10265</v>
      </c>
      <c r="B266" s="21" t="s">
        <v>906</v>
      </c>
      <c r="C266" s="21" t="s">
        <v>1765</v>
      </c>
      <c r="D266" s="21">
        <v>9136802314</v>
      </c>
      <c r="E266" s="21" t="s">
        <v>38</v>
      </c>
      <c r="F266" s="21" t="s">
        <v>429</v>
      </c>
      <c r="G266" s="43" t="s">
        <v>179</v>
      </c>
      <c r="H266" s="43" t="s">
        <v>60</v>
      </c>
      <c r="I266" s="43">
        <v>1</v>
      </c>
      <c r="J266" s="43">
        <v>732</v>
      </c>
      <c r="K266" s="43">
        <v>20</v>
      </c>
      <c r="L266" s="44">
        <v>45404</v>
      </c>
      <c r="M266" s="43" t="s">
        <v>1649</v>
      </c>
      <c r="N266" s="43" t="s">
        <v>25</v>
      </c>
      <c r="O266" s="43" t="s">
        <v>53</v>
      </c>
      <c r="P266" s="43">
        <v>4</v>
      </c>
      <c r="Q266" s="45">
        <v>732</v>
      </c>
      <c r="R266" s="45">
        <v>146.4</v>
      </c>
      <c r="S266" s="45">
        <v>585.6</v>
      </c>
    </row>
    <row r="267" spans="1:19" x14ac:dyDescent="0.3">
      <c r="A267" s="21">
        <v>10266</v>
      </c>
      <c r="B267" s="21" t="s">
        <v>169</v>
      </c>
      <c r="C267" s="21" t="s">
        <v>1659</v>
      </c>
      <c r="D267" s="21">
        <v>9902516528</v>
      </c>
      <c r="E267" s="21" t="s">
        <v>219</v>
      </c>
      <c r="F267" s="21" t="s">
        <v>150</v>
      </c>
      <c r="G267" s="43" t="s">
        <v>161</v>
      </c>
      <c r="H267" s="43" t="s">
        <v>83</v>
      </c>
      <c r="I267" s="43">
        <v>4</v>
      </c>
      <c r="J267" s="43">
        <v>16336</v>
      </c>
      <c r="K267" s="43">
        <v>0</v>
      </c>
      <c r="L267" s="44">
        <v>45343</v>
      </c>
      <c r="M267" s="43" t="s">
        <v>43</v>
      </c>
      <c r="N267" s="43" t="s">
        <v>25</v>
      </c>
      <c r="O267" s="43" t="s">
        <v>71</v>
      </c>
      <c r="P267" s="43">
        <v>5</v>
      </c>
      <c r="Q267" s="45">
        <v>65344</v>
      </c>
      <c r="R267" s="45">
        <v>0</v>
      </c>
      <c r="S267" s="45">
        <v>65344</v>
      </c>
    </row>
    <row r="268" spans="1:19" x14ac:dyDescent="0.3">
      <c r="A268" s="21">
        <v>10267</v>
      </c>
      <c r="B268" s="21" t="s">
        <v>1011</v>
      </c>
      <c r="C268" s="21" t="s">
        <v>1645</v>
      </c>
      <c r="D268" s="21">
        <v>9752441924</v>
      </c>
      <c r="E268" s="21" t="s">
        <v>38</v>
      </c>
      <c r="F268" s="21" t="s">
        <v>429</v>
      </c>
      <c r="G268" s="43" t="s">
        <v>21</v>
      </c>
      <c r="H268" s="43" t="s">
        <v>22</v>
      </c>
      <c r="I268" s="43">
        <v>4</v>
      </c>
      <c r="J268" s="43">
        <v>857</v>
      </c>
      <c r="K268" s="43">
        <v>20</v>
      </c>
      <c r="L268" s="44">
        <v>45313</v>
      </c>
      <c r="M268" s="43" t="s">
        <v>43</v>
      </c>
      <c r="N268" s="43" t="s">
        <v>25</v>
      </c>
      <c r="O268" s="43" t="s">
        <v>174</v>
      </c>
      <c r="P268" s="43">
        <v>3</v>
      </c>
      <c r="Q268" s="45">
        <v>3428</v>
      </c>
      <c r="R268" s="45">
        <v>685.6</v>
      </c>
      <c r="S268" s="45">
        <v>2742.4</v>
      </c>
    </row>
    <row r="269" spans="1:19" x14ac:dyDescent="0.3">
      <c r="A269" s="21">
        <v>10268</v>
      </c>
      <c r="B269" s="21" t="s">
        <v>578</v>
      </c>
      <c r="C269" s="21" t="s">
        <v>1721</v>
      </c>
      <c r="D269" s="21">
        <v>9999142024</v>
      </c>
      <c r="E269" s="21" t="s">
        <v>172</v>
      </c>
      <c r="F269" s="21" t="s">
        <v>150</v>
      </c>
      <c r="G269" s="43" t="s">
        <v>204</v>
      </c>
      <c r="H269" s="43" t="s">
        <v>143</v>
      </c>
      <c r="I269" s="43">
        <v>2</v>
      </c>
      <c r="J269" s="43">
        <v>473</v>
      </c>
      <c r="K269" s="43">
        <v>10</v>
      </c>
      <c r="L269" s="44">
        <v>45327</v>
      </c>
      <c r="M269" s="43" t="s">
        <v>69</v>
      </c>
      <c r="N269" s="43" t="s">
        <v>456</v>
      </c>
      <c r="O269" s="43" t="s">
        <v>53</v>
      </c>
      <c r="P269" s="43">
        <v>5</v>
      </c>
      <c r="Q269" s="45">
        <v>946</v>
      </c>
      <c r="R269" s="45">
        <v>94.6</v>
      </c>
      <c r="S269" s="45">
        <v>851.4</v>
      </c>
    </row>
    <row r="270" spans="1:19" x14ac:dyDescent="0.3">
      <c r="A270" s="21">
        <v>10269</v>
      </c>
      <c r="B270" s="21" t="s">
        <v>169</v>
      </c>
      <c r="C270" s="21" t="s">
        <v>1659</v>
      </c>
      <c r="D270" s="21">
        <v>9542149487</v>
      </c>
      <c r="E270" s="21" t="s">
        <v>197</v>
      </c>
      <c r="F270" s="21" t="s">
        <v>191</v>
      </c>
      <c r="G270" s="43" t="s">
        <v>112</v>
      </c>
      <c r="H270" s="43" t="s">
        <v>83</v>
      </c>
      <c r="I270" s="43">
        <v>2</v>
      </c>
      <c r="J270" s="43">
        <v>21253</v>
      </c>
      <c r="K270" s="43">
        <v>10</v>
      </c>
      <c r="L270" s="44">
        <v>45644</v>
      </c>
      <c r="M270" s="43" t="s">
        <v>24</v>
      </c>
      <c r="N270" s="43" t="s">
        <v>456</v>
      </c>
      <c r="O270" s="43" t="s">
        <v>34</v>
      </c>
      <c r="P270" s="43">
        <v>5</v>
      </c>
      <c r="Q270" s="45">
        <v>42506</v>
      </c>
      <c r="R270" s="45">
        <v>4250.6000000000004</v>
      </c>
      <c r="S270" s="45">
        <v>38255.4</v>
      </c>
    </row>
    <row r="271" spans="1:19" x14ac:dyDescent="0.3">
      <c r="A271" s="21">
        <v>10270</v>
      </c>
      <c r="B271" s="21" t="s">
        <v>1046</v>
      </c>
      <c r="C271" s="21" t="s">
        <v>1777</v>
      </c>
      <c r="D271" s="21" t="s">
        <v>1812</v>
      </c>
      <c r="E271" s="21" t="s">
        <v>57</v>
      </c>
      <c r="F271" s="21" t="s">
        <v>50</v>
      </c>
      <c r="G271" s="43" t="s">
        <v>151</v>
      </c>
      <c r="H271" s="43" t="s">
        <v>143</v>
      </c>
      <c r="I271" s="43">
        <v>4</v>
      </c>
      <c r="J271" s="43">
        <v>324</v>
      </c>
      <c r="K271" s="43">
        <v>10</v>
      </c>
      <c r="L271" s="44">
        <v>45620</v>
      </c>
      <c r="M271" s="43" t="s">
        <v>1646</v>
      </c>
      <c r="N271" s="43" t="s">
        <v>25</v>
      </c>
      <c r="O271" s="43" t="s">
        <v>53</v>
      </c>
      <c r="P271" s="43" t="s">
        <v>1813</v>
      </c>
      <c r="Q271" s="45">
        <v>1296</v>
      </c>
      <c r="R271" s="45">
        <v>129.6</v>
      </c>
      <c r="S271" s="45">
        <v>1166.4000000000001</v>
      </c>
    </row>
    <row r="272" spans="1:19" x14ac:dyDescent="0.3">
      <c r="A272" s="21">
        <v>10271</v>
      </c>
      <c r="B272" s="21" t="s">
        <v>1011</v>
      </c>
      <c r="C272" s="21" t="s">
        <v>1745</v>
      </c>
      <c r="D272" s="21">
        <v>9556457660</v>
      </c>
      <c r="E272" s="21" t="s">
        <v>172</v>
      </c>
      <c r="F272" s="21" t="s">
        <v>150</v>
      </c>
      <c r="G272" s="43" t="s">
        <v>112</v>
      </c>
      <c r="H272" s="43" t="s">
        <v>83</v>
      </c>
      <c r="I272" s="43">
        <v>5</v>
      </c>
      <c r="J272" s="43">
        <v>13304</v>
      </c>
      <c r="K272" s="43">
        <v>15</v>
      </c>
      <c r="L272" s="44">
        <v>45400</v>
      </c>
      <c r="M272" s="43" t="s">
        <v>1649</v>
      </c>
      <c r="N272" s="43" t="s">
        <v>25</v>
      </c>
      <c r="O272" s="43" t="s">
        <v>71</v>
      </c>
      <c r="P272" s="43">
        <v>5</v>
      </c>
      <c r="Q272" s="45">
        <v>66520</v>
      </c>
      <c r="R272" s="45">
        <v>9978</v>
      </c>
      <c r="S272" s="45">
        <v>56542</v>
      </c>
    </row>
    <row r="273" spans="1:19" x14ac:dyDescent="0.3">
      <c r="A273" s="21">
        <v>10272</v>
      </c>
      <c r="B273" s="21" t="s">
        <v>1722</v>
      </c>
      <c r="C273" s="21" t="s">
        <v>1723</v>
      </c>
      <c r="D273" s="21" t="s">
        <v>1812</v>
      </c>
      <c r="E273" s="21" t="s">
        <v>197</v>
      </c>
      <c r="F273" s="21" t="s">
        <v>191</v>
      </c>
      <c r="G273" s="43" t="s">
        <v>204</v>
      </c>
      <c r="H273" s="43" t="s">
        <v>143</v>
      </c>
      <c r="I273" s="43">
        <v>1</v>
      </c>
      <c r="J273" s="43">
        <v>582</v>
      </c>
      <c r="K273" s="43">
        <v>5</v>
      </c>
      <c r="L273" s="44">
        <v>45650</v>
      </c>
      <c r="M273" s="43" t="s">
        <v>69</v>
      </c>
      <c r="N273" s="43" t="s">
        <v>25</v>
      </c>
      <c r="O273" s="43" t="s">
        <v>174</v>
      </c>
      <c r="P273" s="43">
        <v>3</v>
      </c>
      <c r="Q273" s="45">
        <v>582</v>
      </c>
      <c r="R273" s="45">
        <v>29.1</v>
      </c>
      <c r="S273" s="45">
        <v>552.9</v>
      </c>
    </row>
    <row r="274" spans="1:19" x14ac:dyDescent="0.3">
      <c r="A274" s="21">
        <v>10273</v>
      </c>
      <c r="B274" s="21" t="s">
        <v>438</v>
      </c>
      <c r="C274" s="21" t="s">
        <v>1738</v>
      </c>
      <c r="D274" s="21">
        <v>9806642209</v>
      </c>
      <c r="E274" s="21" t="s">
        <v>172</v>
      </c>
      <c r="F274" s="21" t="s">
        <v>150</v>
      </c>
      <c r="G274" s="43" t="s">
        <v>112</v>
      </c>
      <c r="H274" s="43" t="s">
        <v>83</v>
      </c>
      <c r="I274" s="43">
        <v>1</v>
      </c>
      <c r="J274" s="43">
        <v>33378</v>
      </c>
      <c r="K274" s="43">
        <v>5</v>
      </c>
      <c r="L274" s="44">
        <v>45596</v>
      </c>
      <c r="M274" s="43" t="s">
        <v>1646</v>
      </c>
      <c r="N274" s="43" t="s">
        <v>25</v>
      </c>
      <c r="O274" s="43" t="s">
        <v>34</v>
      </c>
      <c r="P274" s="43">
        <v>3</v>
      </c>
      <c r="Q274" s="45">
        <v>33378</v>
      </c>
      <c r="R274" s="45">
        <v>1668.9</v>
      </c>
      <c r="S274" s="45">
        <v>31709.1</v>
      </c>
    </row>
    <row r="275" spans="1:19" x14ac:dyDescent="0.3">
      <c r="A275" s="21">
        <v>10274</v>
      </c>
      <c r="B275" s="21" t="s">
        <v>574</v>
      </c>
      <c r="C275" s="21" t="s">
        <v>485</v>
      </c>
      <c r="D275" s="21">
        <v>9454198604</v>
      </c>
      <c r="E275" s="21" t="s">
        <v>219</v>
      </c>
      <c r="F275" s="21" t="s">
        <v>150</v>
      </c>
      <c r="G275" s="43" t="s">
        <v>198</v>
      </c>
      <c r="H275" s="43" t="s">
        <v>41</v>
      </c>
      <c r="I275" s="43">
        <v>5</v>
      </c>
      <c r="J275" s="43">
        <v>352</v>
      </c>
      <c r="K275" s="43">
        <v>0</v>
      </c>
      <c r="L275" s="44">
        <v>45449</v>
      </c>
      <c r="M275" s="43" t="s">
        <v>1649</v>
      </c>
      <c r="N275" s="43" t="s">
        <v>456</v>
      </c>
      <c r="O275" s="43" t="s">
        <v>174</v>
      </c>
      <c r="P275" s="43">
        <v>5</v>
      </c>
      <c r="Q275" s="45">
        <v>1760</v>
      </c>
      <c r="R275" s="45">
        <v>0</v>
      </c>
      <c r="S275" s="45">
        <v>1760</v>
      </c>
    </row>
    <row r="276" spans="1:19" x14ac:dyDescent="0.3">
      <c r="A276" s="21">
        <v>10275</v>
      </c>
      <c r="B276" s="21" t="s">
        <v>981</v>
      </c>
      <c r="C276" s="21" t="s">
        <v>1771</v>
      </c>
      <c r="D276" s="21">
        <v>9295723142</v>
      </c>
      <c r="E276" s="21" t="s">
        <v>111</v>
      </c>
      <c r="F276" s="21" t="s">
        <v>111</v>
      </c>
      <c r="G276" s="43" t="s">
        <v>368</v>
      </c>
      <c r="H276" s="43" t="s">
        <v>22</v>
      </c>
      <c r="I276" s="43">
        <v>5</v>
      </c>
      <c r="J276" s="43">
        <v>869</v>
      </c>
      <c r="K276" s="43">
        <v>0</v>
      </c>
      <c r="L276" s="44">
        <v>45458</v>
      </c>
      <c r="M276" s="43" t="s">
        <v>1646</v>
      </c>
      <c r="N276" s="43" t="s">
        <v>25</v>
      </c>
      <c r="O276" s="43" t="s">
        <v>1641</v>
      </c>
      <c r="P276" s="43">
        <v>2</v>
      </c>
      <c r="Q276" s="45">
        <v>4345</v>
      </c>
      <c r="R276" s="45">
        <v>0</v>
      </c>
      <c r="S276" s="45">
        <v>4345</v>
      </c>
    </row>
    <row r="277" spans="1:19" x14ac:dyDescent="0.3">
      <c r="A277" s="21">
        <v>10276</v>
      </c>
      <c r="B277" s="21" t="s">
        <v>763</v>
      </c>
      <c r="C277" s="21" t="s">
        <v>1662</v>
      </c>
      <c r="D277" s="21">
        <v>9594012361</v>
      </c>
      <c r="E277" s="21" t="s">
        <v>57</v>
      </c>
      <c r="F277" s="21" t="s">
        <v>50</v>
      </c>
      <c r="G277" s="43" t="s">
        <v>151</v>
      </c>
      <c r="H277" s="43" t="s">
        <v>143</v>
      </c>
      <c r="I277" s="43">
        <v>3</v>
      </c>
      <c r="J277" s="43">
        <v>625</v>
      </c>
      <c r="K277" s="43">
        <v>15</v>
      </c>
      <c r="L277" s="44">
        <v>45473</v>
      </c>
      <c r="M277" s="43" t="s">
        <v>43</v>
      </c>
      <c r="N277" s="43" t="s">
        <v>25</v>
      </c>
      <c r="O277" s="43" t="s">
        <v>71</v>
      </c>
      <c r="P277" s="43">
        <v>3</v>
      </c>
      <c r="Q277" s="45">
        <v>1875</v>
      </c>
      <c r="R277" s="45">
        <v>281.25</v>
      </c>
      <c r="S277" s="45">
        <v>1593.75</v>
      </c>
    </row>
    <row r="278" spans="1:19" x14ac:dyDescent="0.3">
      <c r="A278" s="21">
        <v>10277</v>
      </c>
      <c r="B278" s="21" t="s">
        <v>1660</v>
      </c>
      <c r="C278" s="21" t="s">
        <v>1661</v>
      </c>
      <c r="D278" s="21">
        <v>9338565329</v>
      </c>
      <c r="E278" s="21" t="s">
        <v>343</v>
      </c>
      <c r="F278" s="21" t="s">
        <v>50</v>
      </c>
      <c r="G278" s="43" t="s">
        <v>411</v>
      </c>
      <c r="H278" s="43" t="s">
        <v>83</v>
      </c>
      <c r="I278" s="43">
        <v>3</v>
      </c>
      <c r="J278" s="43">
        <v>55885</v>
      </c>
      <c r="K278" s="43">
        <v>0</v>
      </c>
      <c r="L278" s="44">
        <v>45553</v>
      </c>
      <c r="M278" s="43" t="s">
        <v>1646</v>
      </c>
      <c r="N278" s="43" t="s">
        <v>25</v>
      </c>
      <c r="O278" s="43" t="s">
        <v>53</v>
      </c>
      <c r="P278" s="43">
        <v>2</v>
      </c>
      <c r="Q278" s="45">
        <v>167655</v>
      </c>
      <c r="R278" s="45">
        <v>0</v>
      </c>
      <c r="S278" s="45">
        <v>167655</v>
      </c>
    </row>
    <row r="279" spans="1:19" x14ac:dyDescent="0.3">
      <c r="A279" s="21">
        <v>10278</v>
      </c>
      <c r="B279" s="21" t="s">
        <v>290</v>
      </c>
      <c r="C279" s="21" t="s">
        <v>1678</v>
      </c>
      <c r="D279" s="21">
        <v>9392727965</v>
      </c>
      <c r="E279" s="21" t="s">
        <v>111</v>
      </c>
      <c r="F279" s="21" t="s">
        <v>111</v>
      </c>
      <c r="G279" s="43" t="s">
        <v>198</v>
      </c>
      <c r="H279" s="43" t="s">
        <v>41</v>
      </c>
      <c r="I279" s="43">
        <v>3</v>
      </c>
      <c r="J279" s="43">
        <v>360</v>
      </c>
      <c r="K279" s="43">
        <v>0</v>
      </c>
      <c r="L279" s="44">
        <v>45524</v>
      </c>
      <c r="M279" s="43" t="s">
        <v>1649</v>
      </c>
      <c r="N279" s="43" t="s">
        <v>25</v>
      </c>
      <c r="O279" s="43" t="s">
        <v>174</v>
      </c>
      <c r="P279" s="43" t="s">
        <v>1813</v>
      </c>
      <c r="Q279" s="45">
        <v>1080</v>
      </c>
      <c r="R279" s="45">
        <v>0</v>
      </c>
      <c r="S279" s="45">
        <v>1080</v>
      </c>
    </row>
    <row r="280" spans="1:19" x14ac:dyDescent="0.3">
      <c r="A280" s="21">
        <v>10279</v>
      </c>
      <c r="B280" s="21" t="s">
        <v>1668</v>
      </c>
      <c r="C280" s="21" t="s">
        <v>1669</v>
      </c>
      <c r="D280" s="21" t="s">
        <v>1812</v>
      </c>
      <c r="E280" s="21" t="s">
        <v>391</v>
      </c>
      <c r="F280" s="21" t="s">
        <v>90</v>
      </c>
      <c r="G280" s="43" t="s">
        <v>99</v>
      </c>
      <c r="H280" s="43" t="s">
        <v>92</v>
      </c>
      <c r="I280" s="43">
        <v>2</v>
      </c>
      <c r="J280" s="43">
        <v>2908</v>
      </c>
      <c r="K280" s="43">
        <v>15</v>
      </c>
      <c r="L280" s="44">
        <v>45346</v>
      </c>
      <c r="M280" s="43" t="s">
        <v>1646</v>
      </c>
      <c r="N280" s="43" t="s">
        <v>25</v>
      </c>
      <c r="O280" s="43" t="s">
        <v>45</v>
      </c>
      <c r="P280" s="43">
        <v>3</v>
      </c>
      <c r="Q280" s="45">
        <v>5816</v>
      </c>
      <c r="R280" s="45">
        <v>872.4</v>
      </c>
      <c r="S280" s="45">
        <v>4943.6000000000004</v>
      </c>
    </row>
    <row r="281" spans="1:19" x14ac:dyDescent="0.3">
      <c r="A281" s="21">
        <v>10280</v>
      </c>
      <c r="B281" s="21" t="s">
        <v>1297</v>
      </c>
      <c r="C281" s="21" t="s">
        <v>1808</v>
      </c>
      <c r="D281" s="21">
        <v>9211631378</v>
      </c>
      <c r="E281" s="21" t="s">
        <v>197</v>
      </c>
      <c r="F281" s="21" t="s">
        <v>191</v>
      </c>
      <c r="G281" s="43" t="s">
        <v>204</v>
      </c>
      <c r="H281" s="43" t="s">
        <v>143</v>
      </c>
      <c r="I281" s="43">
        <v>4</v>
      </c>
      <c r="J281" s="43">
        <v>459</v>
      </c>
      <c r="K281" s="43">
        <v>0</v>
      </c>
      <c r="L281" s="44">
        <v>45628</v>
      </c>
      <c r="M281" s="43" t="s">
        <v>24</v>
      </c>
      <c r="N281" s="43" t="s">
        <v>119</v>
      </c>
      <c r="O281" s="43" t="s">
        <v>71</v>
      </c>
      <c r="P281" s="43" t="s">
        <v>1813</v>
      </c>
      <c r="Q281" s="45">
        <v>1836</v>
      </c>
      <c r="R281" s="45">
        <v>0</v>
      </c>
      <c r="S281" s="45">
        <v>1836</v>
      </c>
    </row>
    <row r="282" spans="1:19" x14ac:dyDescent="0.3">
      <c r="A282" s="21">
        <v>10281</v>
      </c>
      <c r="B282" s="21" t="s">
        <v>1691</v>
      </c>
      <c r="C282" s="21" t="s">
        <v>1692</v>
      </c>
      <c r="D282" s="21">
        <v>9105344340</v>
      </c>
      <c r="E282" s="21" t="s">
        <v>197</v>
      </c>
      <c r="F282" s="21" t="s">
        <v>191</v>
      </c>
      <c r="G282" s="43" t="s">
        <v>411</v>
      </c>
      <c r="H282" s="43" t="s">
        <v>83</v>
      </c>
      <c r="I282" s="43">
        <v>3</v>
      </c>
      <c r="J282" s="43">
        <v>59520</v>
      </c>
      <c r="K282" s="43">
        <v>0</v>
      </c>
      <c r="L282" s="44">
        <v>45619</v>
      </c>
      <c r="M282" s="43" t="s">
        <v>43</v>
      </c>
      <c r="N282" s="43" t="s">
        <v>25</v>
      </c>
      <c r="O282" s="43" t="s">
        <v>34</v>
      </c>
      <c r="P282" s="43">
        <v>3</v>
      </c>
      <c r="Q282" s="45">
        <v>178560</v>
      </c>
      <c r="R282" s="45">
        <v>0</v>
      </c>
      <c r="S282" s="45">
        <v>178560</v>
      </c>
    </row>
    <row r="283" spans="1:19" x14ac:dyDescent="0.3">
      <c r="A283" s="21">
        <v>10282</v>
      </c>
      <c r="B283" s="21" t="s">
        <v>364</v>
      </c>
      <c r="C283" s="21" t="s">
        <v>1689</v>
      </c>
      <c r="D283" s="21">
        <v>9440054877</v>
      </c>
      <c r="E283" s="21" t="s">
        <v>343</v>
      </c>
      <c r="F283" s="21" t="s">
        <v>50</v>
      </c>
      <c r="G283" s="43" t="s">
        <v>368</v>
      </c>
      <c r="H283" s="43" t="s">
        <v>22</v>
      </c>
      <c r="I283" s="43">
        <v>5</v>
      </c>
      <c r="J283" s="43">
        <v>1683</v>
      </c>
      <c r="K283" s="43">
        <v>15</v>
      </c>
      <c r="L283" s="44">
        <v>45646</v>
      </c>
      <c r="M283" s="43" t="s">
        <v>43</v>
      </c>
      <c r="N283" s="43" t="s">
        <v>25</v>
      </c>
      <c r="O283" s="43" t="s">
        <v>53</v>
      </c>
      <c r="P283" s="43">
        <v>3</v>
      </c>
      <c r="Q283" s="45">
        <v>8415</v>
      </c>
      <c r="R283" s="45">
        <v>1262.25</v>
      </c>
      <c r="S283" s="45">
        <v>7152.75</v>
      </c>
    </row>
    <row r="284" spans="1:19" x14ac:dyDescent="0.3">
      <c r="A284" s="21">
        <v>10283</v>
      </c>
      <c r="B284" s="21" t="s">
        <v>255</v>
      </c>
      <c r="C284" s="21" t="s">
        <v>1674</v>
      </c>
      <c r="D284" s="21">
        <v>9660220966</v>
      </c>
      <c r="E284" s="21" t="s">
        <v>273</v>
      </c>
      <c r="F284" s="21" t="s">
        <v>50</v>
      </c>
      <c r="G284" s="43" t="s">
        <v>179</v>
      </c>
      <c r="H284" s="43" t="s">
        <v>60</v>
      </c>
      <c r="I284" s="43">
        <v>1</v>
      </c>
      <c r="J284" s="43">
        <v>529</v>
      </c>
      <c r="K284" s="43">
        <v>15</v>
      </c>
      <c r="L284" s="44">
        <v>45357</v>
      </c>
      <c r="M284" s="43" t="s">
        <v>1649</v>
      </c>
      <c r="N284" s="43" t="s">
        <v>25</v>
      </c>
      <c r="O284" s="43" t="s">
        <v>45</v>
      </c>
      <c r="P284" s="43">
        <v>4</v>
      </c>
      <c r="Q284" s="45">
        <v>529</v>
      </c>
      <c r="R284" s="45">
        <v>79.349999999999994</v>
      </c>
      <c r="S284" s="45">
        <v>449.65</v>
      </c>
    </row>
    <row r="285" spans="1:19" x14ac:dyDescent="0.3">
      <c r="A285" s="21">
        <v>10284</v>
      </c>
      <c r="B285" s="21" t="s">
        <v>250</v>
      </c>
      <c r="C285" s="21" t="s">
        <v>1673</v>
      </c>
      <c r="D285" s="21">
        <v>9205409416</v>
      </c>
      <c r="E285" s="21" t="s">
        <v>343</v>
      </c>
      <c r="F285" s="21" t="s">
        <v>50</v>
      </c>
      <c r="G285" s="43" t="s">
        <v>226</v>
      </c>
      <c r="H285" s="43" t="s">
        <v>22</v>
      </c>
      <c r="I285" s="43">
        <v>3</v>
      </c>
      <c r="J285" s="43">
        <v>1520</v>
      </c>
      <c r="K285" s="43">
        <v>5</v>
      </c>
      <c r="L285" s="44">
        <v>45376</v>
      </c>
      <c r="M285" s="43" t="s">
        <v>69</v>
      </c>
      <c r="N285" s="43" t="s">
        <v>25</v>
      </c>
      <c r="O285" s="43" t="s">
        <v>71</v>
      </c>
      <c r="P285" s="43">
        <v>3</v>
      </c>
      <c r="Q285" s="45">
        <v>4560</v>
      </c>
      <c r="R285" s="45">
        <v>228</v>
      </c>
      <c r="S285" s="45">
        <v>4332</v>
      </c>
    </row>
    <row r="286" spans="1:19" x14ac:dyDescent="0.3">
      <c r="A286" s="21">
        <v>10285</v>
      </c>
      <c r="B286" s="21" t="s">
        <v>1333</v>
      </c>
      <c r="C286" s="21" t="s">
        <v>1800</v>
      </c>
      <c r="D286" s="21" t="s">
        <v>1812</v>
      </c>
      <c r="E286" s="21" t="s">
        <v>74</v>
      </c>
      <c r="F286" s="21" t="s">
        <v>75</v>
      </c>
      <c r="G286" s="43" t="s">
        <v>179</v>
      </c>
      <c r="H286" s="43" t="s">
        <v>60</v>
      </c>
      <c r="I286" s="43">
        <v>1</v>
      </c>
      <c r="J286" s="43">
        <v>703</v>
      </c>
      <c r="K286" s="43">
        <v>20</v>
      </c>
      <c r="L286" s="44">
        <v>45555</v>
      </c>
      <c r="M286" s="43" t="s">
        <v>69</v>
      </c>
      <c r="N286" s="43" t="s">
        <v>25</v>
      </c>
      <c r="O286" s="43" t="s">
        <v>71</v>
      </c>
      <c r="P286" s="43">
        <v>2</v>
      </c>
      <c r="Q286" s="45">
        <v>703</v>
      </c>
      <c r="R286" s="45">
        <v>140.6</v>
      </c>
      <c r="S286" s="45">
        <v>562.4</v>
      </c>
    </row>
    <row r="287" spans="1:19" x14ac:dyDescent="0.3">
      <c r="A287" s="21">
        <v>10286</v>
      </c>
      <c r="B287" s="21" t="s">
        <v>832</v>
      </c>
      <c r="C287" s="21" t="s">
        <v>1757</v>
      </c>
      <c r="D287" s="21">
        <v>9278473577</v>
      </c>
      <c r="E287" s="21" t="s">
        <v>38</v>
      </c>
      <c r="F287" s="21" t="s">
        <v>429</v>
      </c>
      <c r="G287" s="43" t="s">
        <v>198</v>
      </c>
      <c r="H287" s="43" t="s">
        <v>41</v>
      </c>
      <c r="I287" s="43">
        <v>2</v>
      </c>
      <c r="J287" s="43">
        <v>123</v>
      </c>
      <c r="K287" s="43">
        <v>15</v>
      </c>
      <c r="L287" s="44">
        <v>45439</v>
      </c>
      <c r="M287" s="43" t="s">
        <v>43</v>
      </c>
      <c r="N287" s="43" t="s">
        <v>25</v>
      </c>
      <c r="O287" s="43" t="s">
        <v>45</v>
      </c>
      <c r="P287" s="43">
        <v>4</v>
      </c>
      <c r="Q287" s="45">
        <v>246</v>
      </c>
      <c r="R287" s="45">
        <v>36.9</v>
      </c>
      <c r="S287" s="45">
        <v>209.1</v>
      </c>
    </row>
    <row r="288" spans="1:19" x14ac:dyDescent="0.3">
      <c r="A288" s="21">
        <v>10287</v>
      </c>
      <c r="B288" s="21" t="s">
        <v>1083</v>
      </c>
      <c r="C288" s="21" t="s">
        <v>1746</v>
      </c>
      <c r="D288" s="21" t="s">
        <v>1812</v>
      </c>
      <c r="E288" s="21" t="s">
        <v>279</v>
      </c>
      <c r="F288" s="21" t="s">
        <v>259</v>
      </c>
      <c r="G288" s="43" t="s">
        <v>106</v>
      </c>
      <c r="H288" s="43" t="s">
        <v>83</v>
      </c>
      <c r="I288" s="43">
        <v>1</v>
      </c>
      <c r="J288" s="43">
        <v>12747</v>
      </c>
      <c r="K288" s="43">
        <v>15</v>
      </c>
      <c r="L288" s="44">
        <v>45467</v>
      </c>
      <c r="M288" s="43" t="s">
        <v>1646</v>
      </c>
      <c r="N288" s="43" t="s">
        <v>25</v>
      </c>
      <c r="O288" s="43" t="s">
        <v>174</v>
      </c>
      <c r="P288" s="43" t="s">
        <v>1813</v>
      </c>
      <c r="Q288" s="45">
        <v>12747</v>
      </c>
      <c r="R288" s="45">
        <v>1912.05</v>
      </c>
      <c r="S288" s="45">
        <v>10834.95</v>
      </c>
    </row>
    <row r="289" spans="1:19" x14ac:dyDescent="0.3">
      <c r="A289" s="21">
        <v>10288</v>
      </c>
      <c r="B289" s="21" t="s">
        <v>520</v>
      </c>
      <c r="C289" s="21" t="s">
        <v>1714</v>
      </c>
      <c r="D289" s="21" t="s">
        <v>1812</v>
      </c>
      <c r="E289" s="21" t="s">
        <v>219</v>
      </c>
      <c r="F289" s="21" t="s">
        <v>150</v>
      </c>
      <c r="G289" s="43" t="s">
        <v>112</v>
      </c>
      <c r="H289" s="43" t="s">
        <v>83</v>
      </c>
      <c r="I289" s="43">
        <v>2</v>
      </c>
      <c r="J289" s="43">
        <v>26148</v>
      </c>
      <c r="K289" s="43">
        <v>0</v>
      </c>
      <c r="L289" s="44">
        <v>45588</v>
      </c>
      <c r="M289" s="43" t="s">
        <v>24</v>
      </c>
      <c r="N289" s="43" t="s">
        <v>25</v>
      </c>
      <c r="O289" s="43" t="s">
        <v>71</v>
      </c>
      <c r="P289" s="43">
        <v>2</v>
      </c>
      <c r="Q289" s="45">
        <v>52296</v>
      </c>
      <c r="R289" s="45">
        <v>0</v>
      </c>
      <c r="S289" s="45">
        <v>52296</v>
      </c>
    </row>
    <row r="290" spans="1:19" x14ac:dyDescent="0.3">
      <c r="A290" s="21">
        <v>10289</v>
      </c>
      <c r="B290" s="21" t="s">
        <v>1702</v>
      </c>
      <c r="C290" s="21" t="s">
        <v>1703</v>
      </c>
      <c r="D290" s="21">
        <v>9745613644</v>
      </c>
      <c r="E290" s="21" t="s">
        <v>391</v>
      </c>
      <c r="F290" s="21" t="s">
        <v>90</v>
      </c>
      <c r="G290" s="43" t="s">
        <v>161</v>
      </c>
      <c r="H290" s="43" t="s">
        <v>83</v>
      </c>
      <c r="I290" s="43">
        <v>4</v>
      </c>
      <c r="J290" s="43">
        <v>16324</v>
      </c>
      <c r="K290" s="43">
        <v>5</v>
      </c>
      <c r="L290" s="44">
        <v>45376</v>
      </c>
      <c r="M290" s="43" t="s">
        <v>1646</v>
      </c>
      <c r="N290" s="43" t="s">
        <v>25</v>
      </c>
      <c r="O290" s="43" t="s">
        <v>174</v>
      </c>
      <c r="P290" s="43">
        <v>3</v>
      </c>
      <c r="Q290" s="45">
        <v>65296</v>
      </c>
      <c r="R290" s="45">
        <v>3264.8</v>
      </c>
      <c r="S290" s="45">
        <v>62031.199999999997</v>
      </c>
    </row>
    <row r="291" spans="1:19" x14ac:dyDescent="0.3">
      <c r="A291" s="21">
        <v>10290</v>
      </c>
      <c r="B291" s="21" t="s">
        <v>968</v>
      </c>
      <c r="C291" s="21" t="s">
        <v>774</v>
      </c>
      <c r="D291" s="21">
        <v>9146031615</v>
      </c>
      <c r="E291" s="21" t="s">
        <v>391</v>
      </c>
      <c r="F291" s="21" t="s">
        <v>90</v>
      </c>
      <c r="G291" s="43" t="s">
        <v>411</v>
      </c>
      <c r="H291" s="43" t="s">
        <v>83</v>
      </c>
      <c r="I291" s="43">
        <v>2</v>
      </c>
      <c r="J291" s="43">
        <v>54723</v>
      </c>
      <c r="K291" s="43">
        <v>0</v>
      </c>
      <c r="L291" s="44">
        <v>45318</v>
      </c>
      <c r="M291" s="43" t="s">
        <v>43</v>
      </c>
      <c r="N291" s="43" t="s">
        <v>25</v>
      </c>
      <c r="O291" s="43" t="s">
        <v>53</v>
      </c>
      <c r="P291" s="43">
        <v>1</v>
      </c>
      <c r="Q291" s="45">
        <v>109446</v>
      </c>
      <c r="R291" s="45">
        <v>0</v>
      </c>
      <c r="S291" s="45">
        <v>109446</v>
      </c>
    </row>
    <row r="292" spans="1:19" x14ac:dyDescent="0.3">
      <c r="A292" s="21">
        <v>10291</v>
      </c>
      <c r="B292" s="21" t="s">
        <v>940</v>
      </c>
      <c r="C292" s="21" t="s">
        <v>1724</v>
      </c>
      <c r="D292" s="21">
        <v>9484205303</v>
      </c>
      <c r="E292" s="21" t="s">
        <v>279</v>
      </c>
      <c r="F292" s="21" t="s">
        <v>259</v>
      </c>
      <c r="G292" s="43" t="s">
        <v>204</v>
      </c>
      <c r="H292" s="43" t="s">
        <v>143</v>
      </c>
      <c r="I292" s="43">
        <v>3</v>
      </c>
      <c r="J292" s="43">
        <v>291</v>
      </c>
      <c r="K292" s="43">
        <v>20</v>
      </c>
      <c r="L292" s="44">
        <v>45600</v>
      </c>
      <c r="M292" s="43" t="s">
        <v>24</v>
      </c>
      <c r="N292" s="43" t="s">
        <v>25</v>
      </c>
      <c r="O292" s="43" t="s">
        <v>34</v>
      </c>
      <c r="P292" s="43">
        <v>5</v>
      </c>
      <c r="Q292" s="45">
        <v>873</v>
      </c>
      <c r="R292" s="45">
        <v>174.6</v>
      </c>
      <c r="S292" s="45">
        <v>698.4</v>
      </c>
    </row>
    <row r="293" spans="1:19" x14ac:dyDescent="0.3">
      <c r="A293" s="21">
        <v>10292</v>
      </c>
      <c r="B293" s="21" t="s">
        <v>314</v>
      </c>
      <c r="C293" s="21" t="s">
        <v>1682</v>
      </c>
      <c r="D293" s="21">
        <v>9384704568</v>
      </c>
      <c r="E293" s="21" t="s">
        <v>343</v>
      </c>
      <c r="F293" s="21" t="s">
        <v>50</v>
      </c>
      <c r="G293" s="43" t="s">
        <v>280</v>
      </c>
      <c r="H293" s="43" t="s">
        <v>41</v>
      </c>
      <c r="I293" s="43">
        <v>5</v>
      </c>
      <c r="J293" s="43">
        <v>187</v>
      </c>
      <c r="K293" s="43">
        <v>20</v>
      </c>
      <c r="L293" s="44">
        <v>45522</v>
      </c>
      <c r="M293" s="43" t="s">
        <v>1649</v>
      </c>
      <c r="N293" s="43" t="s">
        <v>25</v>
      </c>
      <c r="O293" s="43" t="s">
        <v>174</v>
      </c>
      <c r="P293" s="43">
        <v>4</v>
      </c>
      <c r="Q293" s="45">
        <v>935</v>
      </c>
      <c r="R293" s="45">
        <v>187</v>
      </c>
      <c r="S293" s="45">
        <v>748</v>
      </c>
    </row>
    <row r="294" spans="1:19" x14ac:dyDescent="0.3">
      <c r="A294" s="21">
        <v>10293</v>
      </c>
      <c r="B294" s="21" t="s">
        <v>79</v>
      </c>
      <c r="C294" s="21" t="s">
        <v>1647</v>
      </c>
      <c r="D294" s="21">
        <v>9306817014</v>
      </c>
      <c r="E294" s="21" t="s">
        <v>273</v>
      </c>
      <c r="F294" s="21" t="s">
        <v>50</v>
      </c>
      <c r="G294" s="43" t="s">
        <v>368</v>
      </c>
      <c r="H294" s="43" t="s">
        <v>22</v>
      </c>
      <c r="I294" s="43">
        <v>4</v>
      </c>
      <c r="J294" s="43">
        <v>1889</v>
      </c>
      <c r="K294" s="43">
        <v>0</v>
      </c>
      <c r="L294" s="44">
        <v>45636</v>
      </c>
      <c r="M294" s="43" t="s">
        <v>1649</v>
      </c>
      <c r="N294" s="43" t="s">
        <v>25</v>
      </c>
      <c r="O294" s="43" t="s">
        <v>34</v>
      </c>
      <c r="P294" s="43" t="s">
        <v>1813</v>
      </c>
      <c r="Q294" s="45">
        <v>7556</v>
      </c>
      <c r="R294" s="45">
        <v>0</v>
      </c>
      <c r="S294" s="45">
        <v>7556</v>
      </c>
    </row>
    <row r="295" spans="1:19" x14ac:dyDescent="0.3">
      <c r="A295" s="21">
        <v>10294</v>
      </c>
      <c r="B295" s="21" t="s">
        <v>936</v>
      </c>
      <c r="C295" s="21" t="s">
        <v>1770</v>
      </c>
      <c r="D295" s="21">
        <v>9845996928</v>
      </c>
      <c r="E295" s="21" t="s">
        <v>343</v>
      </c>
      <c r="F295" s="21" t="s">
        <v>50</v>
      </c>
      <c r="G295" s="43" t="s">
        <v>198</v>
      </c>
      <c r="H295" s="43" t="s">
        <v>41</v>
      </c>
      <c r="I295" s="43">
        <v>4</v>
      </c>
      <c r="J295" s="43">
        <v>368</v>
      </c>
      <c r="K295" s="43">
        <v>20</v>
      </c>
      <c r="L295" s="44">
        <v>45317</v>
      </c>
      <c r="M295" s="43" t="s">
        <v>1646</v>
      </c>
      <c r="N295" s="43" t="s">
        <v>25</v>
      </c>
      <c r="O295" s="43" t="s">
        <v>45</v>
      </c>
      <c r="P295" s="43">
        <v>4</v>
      </c>
      <c r="Q295" s="45">
        <v>1472</v>
      </c>
      <c r="R295" s="45">
        <v>294.39999999999998</v>
      </c>
      <c r="S295" s="45">
        <v>1177.5999999999999</v>
      </c>
    </row>
    <row r="296" spans="1:19" x14ac:dyDescent="0.3">
      <c r="A296" s="21">
        <v>10295</v>
      </c>
      <c r="B296" s="21" t="s">
        <v>95</v>
      </c>
      <c r="C296" s="21" t="s">
        <v>1648</v>
      </c>
      <c r="D296" s="21">
        <v>9806142559</v>
      </c>
      <c r="E296" s="21" t="s">
        <v>74</v>
      </c>
      <c r="F296" s="21" t="s">
        <v>75</v>
      </c>
      <c r="G296" s="43" t="s">
        <v>106</v>
      </c>
      <c r="H296" s="43" t="s">
        <v>83</v>
      </c>
      <c r="I296" s="43">
        <v>4</v>
      </c>
      <c r="J296" s="43">
        <v>12020</v>
      </c>
      <c r="K296" s="43">
        <v>0</v>
      </c>
      <c r="L296" s="44">
        <v>45537</v>
      </c>
      <c r="M296" s="43" t="s">
        <v>24</v>
      </c>
      <c r="N296" s="43" t="s">
        <v>456</v>
      </c>
      <c r="O296" s="43" t="s">
        <v>1641</v>
      </c>
      <c r="P296" s="43">
        <v>5</v>
      </c>
      <c r="Q296" s="45">
        <v>48080</v>
      </c>
      <c r="R296" s="45">
        <v>0</v>
      </c>
      <c r="S296" s="45">
        <v>48080</v>
      </c>
    </row>
    <row r="297" spans="1:19" x14ac:dyDescent="0.3">
      <c r="A297" s="21">
        <v>10296</v>
      </c>
      <c r="B297" s="21" t="s">
        <v>314</v>
      </c>
      <c r="C297" s="21" t="s">
        <v>1682</v>
      </c>
      <c r="D297" s="21">
        <v>9631711095</v>
      </c>
      <c r="E297" s="21" t="s">
        <v>197</v>
      </c>
      <c r="F297" s="21" t="s">
        <v>191</v>
      </c>
      <c r="G297" s="43" t="s">
        <v>112</v>
      </c>
      <c r="H297" s="43" t="s">
        <v>83</v>
      </c>
      <c r="I297" s="43">
        <v>5</v>
      </c>
      <c r="J297" s="43">
        <v>33793</v>
      </c>
      <c r="K297" s="43">
        <v>15</v>
      </c>
      <c r="L297" s="44">
        <v>45651</v>
      </c>
      <c r="M297" s="43" t="s">
        <v>24</v>
      </c>
      <c r="N297" s="43" t="s">
        <v>25</v>
      </c>
      <c r="O297" s="43" t="s">
        <v>34</v>
      </c>
      <c r="P297" s="43">
        <v>5</v>
      </c>
      <c r="Q297" s="45">
        <v>168965</v>
      </c>
      <c r="R297" s="45">
        <v>25344.75</v>
      </c>
      <c r="S297" s="45">
        <v>143620.25</v>
      </c>
    </row>
    <row r="298" spans="1:19" x14ac:dyDescent="0.3">
      <c r="A298" s="21">
        <v>10297</v>
      </c>
      <c r="B298" s="21" t="s">
        <v>1650</v>
      </c>
      <c r="C298" s="21" t="s">
        <v>1651</v>
      </c>
      <c r="D298" s="21">
        <v>9689748384</v>
      </c>
      <c r="E298" s="21" t="s">
        <v>111</v>
      </c>
      <c r="F298" s="21" t="s">
        <v>111</v>
      </c>
      <c r="G298" s="43" t="s">
        <v>179</v>
      </c>
      <c r="H298" s="43" t="s">
        <v>60</v>
      </c>
      <c r="I298" s="43">
        <v>3</v>
      </c>
      <c r="J298" s="43">
        <v>663</v>
      </c>
      <c r="K298" s="43">
        <v>20</v>
      </c>
      <c r="L298" s="44">
        <v>45432</v>
      </c>
      <c r="M298" s="43" t="s">
        <v>69</v>
      </c>
      <c r="N298" s="43" t="s">
        <v>119</v>
      </c>
      <c r="O298" s="43" t="s">
        <v>45</v>
      </c>
      <c r="P298" s="43">
        <v>2</v>
      </c>
      <c r="Q298" s="45">
        <v>1989</v>
      </c>
      <c r="R298" s="45">
        <v>397.8</v>
      </c>
      <c r="S298" s="45">
        <v>1591.2</v>
      </c>
    </row>
    <row r="299" spans="1:19" x14ac:dyDescent="0.3">
      <c r="A299" s="21">
        <v>10298</v>
      </c>
      <c r="B299" s="21" t="s">
        <v>1572</v>
      </c>
      <c r="C299" s="21" t="s">
        <v>1645</v>
      </c>
      <c r="D299" s="21">
        <v>9522897890</v>
      </c>
      <c r="E299" s="21" t="s">
        <v>343</v>
      </c>
      <c r="F299" s="21" t="s">
        <v>50</v>
      </c>
      <c r="G299" s="43" t="s">
        <v>226</v>
      </c>
      <c r="H299" s="43" t="s">
        <v>22</v>
      </c>
      <c r="I299" s="43">
        <v>4</v>
      </c>
      <c r="J299" s="43">
        <v>1735</v>
      </c>
      <c r="K299" s="43">
        <v>0</v>
      </c>
      <c r="L299" s="44">
        <v>45525</v>
      </c>
      <c r="M299" s="43" t="s">
        <v>1649</v>
      </c>
      <c r="N299" s="43" t="s">
        <v>119</v>
      </c>
      <c r="O299" s="43" t="s">
        <v>71</v>
      </c>
      <c r="P299" s="43">
        <v>1</v>
      </c>
      <c r="Q299" s="45">
        <v>6940</v>
      </c>
      <c r="R299" s="45">
        <v>0</v>
      </c>
      <c r="S299" s="45">
        <v>6940</v>
      </c>
    </row>
    <row r="300" spans="1:19" x14ac:dyDescent="0.3">
      <c r="A300" s="21">
        <v>10299</v>
      </c>
      <c r="B300" s="21" t="s">
        <v>1051</v>
      </c>
      <c r="C300" s="21" t="s">
        <v>1670</v>
      </c>
      <c r="D300" s="21" t="s">
        <v>1812</v>
      </c>
      <c r="E300" s="21" t="s">
        <v>391</v>
      </c>
      <c r="F300" s="21" t="s">
        <v>90</v>
      </c>
      <c r="G300" s="43" t="s">
        <v>368</v>
      </c>
      <c r="H300" s="43" t="s">
        <v>22</v>
      </c>
      <c r="I300" s="43">
        <v>5</v>
      </c>
      <c r="J300" s="43">
        <v>1661</v>
      </c>
      <c r="K300" s="43">
        <v>0</v>
      </c>
      <c r="L300" s="44">
        <v>45558</v>
      </c>
      <c r="M300" s="43" t="s">
        <v>69</v>
      </c>
      <c r="N300" s="43" t="s">
        <v>25</v>
      </c>
      <c r="O300" s="43" t="s">
        <v>71</v>
      </c>
      <c r="P300" s="43">
        <v>1</v>
      </c>
      <c r="Q300" s="45">
        <v>8305</v>
      </c>
      <c r="R300" s="45">
        <v>0</v>
      </c>
      <c r="S300" s="45">
        <v>8305</v>
      </c>
    </row>
    <row r="301" spans="1:19" x14ac:dyDescent="0.3">
      <c r="A301" s="21">
        <v>10300</v>
      </c>
      <c r="B301" s="21" t="s">
        <v>1106</v>
      </c>
      <c r="C301" s="21" t="s">
        <v>1107</v>
      </c>
      <c r="D301" s="21">
        <v>9681797748</v>
      </c>
      <c r="E301" s="21" t="s">
        <v>74</v>
      </c>
      <c r="F301" s="21" t="s">
        <v>75</v>
      </c>
      <c r="G301" s="43" t="s">
        <v>179</v>
      </c>
      <c r="H301" s="43" t="s">
        <v>60</v>
      </c>
      <c r="I301" s="43">
        <v>5</v>
      </c>
      <c r="J301" s="43">
        <v>534</v>
      </c>
      <c r="K301" s="43">
        <v>5</v>
      </c>
      <c r="L301" s="44">
        <v>45575</v>
      </c>
      <c r="M301" s="43" t="s">
        <v>1649</v>
      </c>
      <c r="N301" s="43" t="s">
        <v>25</v>
      </c>
      <c r="O301" s="43" t="s">
        <v>45</v>
      </c>
      <c r="P301" s="43">
        <v>3</v>
      </c>
      <c r="Q301" s="45">
        <v>2670</v>
      </c>
      <c r="R301" s="45">
        <v>133.5</v>
      </c>
      <c r="S301" s="45">
        <v>2536.5</v>
      </c>
    </row>
    <row r="302" spans="1:19" x14ac:dyDescent="0.3">
      <c r="A302" s="21">
        <v>10301</v>
      </c>
      <c r="B302" s="21" t="s">
        <v>870</v>
      </c>
      <c r="C302" s="21" t="s">
        <v>1761</v>
      </c>
      <c r="D302" s="21">
        <v>9764752200</v>
      </c>
      <c r="E302" s="21" t="s">
        <v>38</v>
      </c>
      <c r="F302" s="21" t="s">
        <v>429</v>
      </c>
      <c r="G302" s="43" t="s">
        <v>21</v>
      </c>
      <c r="H302" s="43" t="s">
        <v>22</v>
      </c>
      <c r="I302" s="43">
        <v>1</v>
      </c>
      <c r="J302" s="43">
        <v>1004</v>
      </c>
      <c r="K302" s="43">
        <v>0</v>
      </c>
      <c r="L302" s="44">
        <v>45301</v>
      </c>
      <c r="M302" s="43" t="s">
        <v>1646</v>
      </c>
      <c r="N302" s="43" t="s">
        <v>25</v>
      </c>
      <c r="O302" s="43" t="s">
        <v>1641</v>
      </c>
      <c r="P302" s="43">
        <v>2</v>
      </c>
      <c r="Q302" s="45">
        <v>1004</v>
      </c>
      <c r="R302" s="45">
        <v>0</v>
      </c>
      <c r="S302" s="45">
        <v>1004</v>
      </c>
    </row>
    <row r="303" spans="1:19" x14ac:dyDescent="0.3">
      <c r="A303" s="21">
        <v>10302</v>
      </c>
      <c r="B303" s="21" t="s">
        <v>282</v>
      </c>
      <c r="C303" s="21" t="s">
        <v>1677</v>
      </c>
      <c r="D303" s="21">
        <v>9354499343</v>
      </c>
      <c r="E303" s="21" t="s">
        <v>38</v>
      </c>
      <c r="F303" s="21" t="s">
        <v>429</v>
      </c>
      <c r="G303" s="43" t="s">
        <v>280</v>
      </c>
      <c r="H303" s="43" t="s">
        <v>41</v>
      </c>
      <c r="I303" s="43">
        <v>4</v>
      </c>
      <c r="J303" s="43">
        <v>174</v>
      </c>
      <c r="K303" s="43">
        <v>20</v>
      </c>
      <c r="L303" s="44">
        <v>45630</v>
      </c>
      <c r="M303" s="43" t="s">
        <v>1646</v>
      </c>
      <c r="N303" s="43" t="s">
        <v>25</v>
      </c>
      <c r="O303" s="43" t="s">
        <v>53</v>
      </c>
      <c r="P303" s="43">
        <v>5</v>
      </c>
      <c r="Q303" s="45">
        <v>696</v>
      </c>
      <c r="R303" s="45">
        <v>139.19999999999999</v>
      </c>
      <c r="S303" s="45">
        <v>556.79999999999995</v>
      </c>
    </row>
    <row r="304" spans="1:19" x14ac:dyDescent="0.3">
      <c r="A304" s="21">
        <v>10303</v>
      </c>
      <c r="B304" s="21" t="s">
        <v>603</v>
      </c>
      <c r="C304" s="21" t="s">
        <v>1693</v>
      </c>
      <c r="D304" s="21" t="s">
        <v>1812</v>
      </c>
      <c r="E304" s="21" t="s">
        <v>391</v>
      </c>
      <c r="F304" s="21" t="s">
        <v>90</v>
      </c>
      <c r="G304" s="43" t="s">
        <v>112</v>
      </c>
      <c r="H304" s="43" t="s">
        <v>83</v>
      </c>
      <c r="I304" s="43">
        <v>2</v>
      </c>
      <c r="J304" s="43">
        <v>29461</v>
      </c>
      <c r="K304" s="43">
        <v>0</v>
      </c>
      <c r="L304" s="44">
        <v>45397</v>
      </c>
      <c r="M304" s="43" t="s">
        <v>43</v>
      </c>
      <c r="N304" s="43" t="s">
        <v>25</v>
      </c>
      <c r="O304" s="43" t="s">
        <v>174</v>
      </c>
      <c r="P304" s="43">
        <v>2</v>
      </c>
      <c r="Q304" s="45">
        <v>58922</v>
      </c>
      <c r="R304" s="45">
        <v>0</v>
      </c>
      <c r="S304" s="45">
        <v>58922</v>
      </c>
    </row>
    <row r="305" spans="1:19" x14ac:dyDescent="0.3">
      <c r="A305" s="21">
        <v>10304</v>
      </c>
      <c r="B305" s="21" t="s">
        <v>290</v>
      </c>
      <c r="C305" s="21" t="s">
        <v>1678</v>
      </c>
      <c r="D305" s="21">
        <v>9101920794</v>
      </c>
      <c r="E305" s="21" t="s">
        <v>343</v>
      </c>
      <c r="F305" s="21" t="s">
        <v>50</v>
      </c>
      <c r="G305" s="43" t="s">
        <v>204</v>
      </c>
      <c r="H305" s="43" t="s">
        <v>143</v>
      </c>
      <c r="I305" s="43">
        <v>5</v>
      </c>
      <c r="J305" s="43">
        <v>382</v>
      </c>
      <c r="K305" s="43">
        <v>20</v>
      </c>
      <c r="L305" s="44">
        <v>45364</v>
      </c>
      <c r="M305" s="43" t="s">
        <v>24</v>
      </c>
      <c r="N305" s="43" t="s">
        <v>25</v>
      </c>
      <c r="O305" s="43" t="s">
        <v>53</v>
      </c>
      <c r="P305" s="43">
        <v>1</v>
      </c>
      <c r="Q305" s="45">
        <v>1910</v>
      </c>
      <c r="R305" s="45">
        <v>382</v>
      </c>
      <c r="S305" s="45">
        <v>1528</v>
      </c>
    </row>
    <row r="306" spans="1:19" x14ac:dyDescent="0.3">
      <c r="A306" s="21">
        <v>10305</v>
      </c>
      <c r="B306" s="21" t="s">
        <v>644</v>
      </c>
      <c r="C306" s="21" t="s">
        <v>1733</v>
      </c>
      <c r="D306" s="21">
        <v>9644575724</v>
      </c>
      <c r="E306" s="21" t="s">
        <v>343</v>
      </c>
      <c r="F306" s="21" t="s">
        <v>50</v>
      </c>
      <c r="G306" s="43" t="s">
        <v>204</v>
      </c>
      <c r="H306" s="43" t="s">
        <v>143</v>
      </c>
      <c r="I306" s="43">
        <v>2</v>
      </c>
      <c r="J306" s="43">
        <v>466</v>
      </c>
      <c r="K306" s="43">
        <v>0</v>
      </c>
      <c r="L306" s="44">
        <v>45384</v>
      </c>
      <c r="M306" s="43" t="s">
        <v>1646</v>
      </c>
      <c r="N306" s="43" t="s">
        <v>25</v>
      </c>
      <c r="O306" s="43" t="s">
        <v>34</v>
      </c>
      <c r="P306" s="43">
        <v>4</v>
      </c>
      <c r="Q306" s="45">
        <v>932</v>
      </c>
      <c r="R306" s="45">
        <v>0</v>
      </c>
      <c r="S306" s="45">
        <v>932</v>
      </c>
    </row>
    <row r="307" spans="1:19" x14ac:dyDescent="0.3">
      <c r="A307" s="21">
        <v>10306</v>
      </c>
      <c r="B307" s="21" t="s">
        <v>845</v>
      </c>
      <c r="C307" s="21" t="s">
        <v>1759</v>
      </c>
      <c r="D307" s="21">
        <v>9734450486</v>
      </c>
      <c r="E307" s="21" t="s">
        <v>38</v>
      </c>
      <c r="F307" s="21" t="s">
        <v>429</v>
      </c>
      <c r="G307" s="43" t="s">
        <v>411</v>
      </c>
      <c r="H307" s="43" t="s">
        <v>83</v>
      </c>
      <c r="I307" s="43">
        <v>4</v>
      </c>
      <c r="J307" s="43">
        <v>49087</v>
      </c>
      <c r="K307" s="43">
        <v>15</v>
      </c>
      <c r="L307" s="44">
        <v>45402</v>
      </c>
      <c r="M307" s="43" t="s">
        <v>24</v>
      </c>
      <c r="N307" s="43" t="s">
        <v>25</v>
      </c>
      <c r="O307" s="43" t="s">
        <v>71</v>
      </c>
      <c r="P307" s="43">
        <v>4</v>
      </c>
      <c r="Q307" s="45">
        <v>196348</v>
      </c>
      <c r="R307" s="45">
        <v>29452.2</v>
      </c>
      <c r="S307" s="45">
        <v>166895.79999999999</v>
      </c>
    </row>
    <row r="308" spans="1:19" x14ac:dyDescent="0.3">
      <c r="A308" s="21">
        <v>10307</v>
      </c>
      <c r="B308" s="21" t="s">
        <v>1133</v>
      </c>
      <c r="C308" s="21" t="s">
        <v>1783</v>
      </c>
      <c r="D308" s="21">
        <v>9507378677</v>
      </c>
      <c r="E308" s="21" t="s">
        <v>273</v>
      </c>
      <c r="F308" s="21" t="s">
        <v>50</v>
      </c>
      <c r="G308" s="43" t="s">
        <v>112</v>
      </c>
      <c r="H308" s="43" t="s">
        <v>83</v>
      </c>
      <c r="I308" s="43">
        <v>1</v>
      </c>
      <c r="J308" s="43">
        <v>23156</v>
      </c>
      <c r="K308" s="43">
        <v>20</v>
      </c>
      <c r="L308" s="44">
        <v>45422</v>
      </c>
      <c r="M308" s="43" t="s">
        <v>1649</v>
      </c>
      <c r="N308" s="43" t="s">
        <v>25</v>
      </c>
      <c r="O308" s="43" t="s">
        <v>53</v>
      </c>
      <c r="P308" s="43" t="s">
        <v>1813</v>
      </c>
      <c r="Q308" s="45">
        <v>23156</v>
      </c>
      <c r="R308" s="45">
        <v>4631.2</v>
      </c>
      <c r="S308" s="45">
        <v>18524.8</v>
      </c>
    </row>
    <row r="309" spans="1:19" x14ac:dyDescent="0.3">
      <c r="A309" s="21">
        <v>10308</v>
      </c>
      <c r="B309" s="21" t="s">
        <v>169</v>
      </c>
      <c r="C309" s="21" t="s">
        <v>1659</v>
      </c>
      <c r="D309" s="21" t="s">
        <v>1812</v>
      </c>
      <c r="E309" s="21" t="s">
        <v>172</v>
      </c>
      <c r="F309" s="21" t="s">
        <v>150</v>
      </c>
      <c r="G309" s="43" t="s">
        <v>161</v>
      </c>
      <c r="H309" s="43" t="s">
        <v>83</v>
      </c>
      <c r="I309" s="43">
        <v>5</v>
      </c>
      <c r="J309" s="43">
        <v>27113</v>
      </c>
      <c r="K309" s="43">
        <v>0</v>
      </c>
      <c r="L309" s="44">
        <v>45474</v>
      </c>
      <c r="M309" s="43" t="s">
        <v>1646</v>
      </c>
      <c r="N309" s="43" t="s">
        <v>25</v>
      </c>
      <c r="O309" s="43" t="s">
        <v>174</v>
      </c>
      <c r="P309" s="43" t="s">
        <v>1813</v>
      </c>
      <c r="Q309" s="45">
        <v>135565</v>
      </c>
      <c r="R309" s="45">
        <v>0</v>
      </c>
      <c r="S309" s="45">
        <v>135565</v>
      </c>
    </row>
    <row r="310" spans="1:19" x14ac:dyDescent="0.3">
      <c r="A310" s="21">
        <v>10309</v>
      </c>
      <c r="B310" s="21" t="s">
        <v>1581</v>
      </c>
      <c r="C310" s="21" t="s">
        <v>1710</v>
      </c>
      <c r="D310" s="21">
        <v>9133733067</v>
      </c>
      <c r="E310" s="21" t="s">
        <v>371</v>
      </c>
      <c r="F310" s="21" t="s">
        <v>98</v>
      </c>
      <c r="G310" s="43" t="s">
        <v>151</v>
      </c>
      <c r="H310" s="43" t="s">
        <v>143</v>
      </c>
      <c r="I310" s="43">
        <v>5</v>
      </c>
      <c r="J310" s="43">
        <v>427</v>
      </c>
      <c r="K310" s="43">
        <v>10</v>
      </c>
      <c r="L310" s="44">
        <v>45456</v>
      </c>
      <c r="M310" s="43" t="s">
        <v>43</v>
      </c>
      <c r="N310" s="43" t="s">
        <v>25</v>
      </c>
      <c r="O310" s="43" t="s">
        <v>45</v>
      </c>
      <c r="P310" s="43" t="s">
        <v>1813</v>
      </c>
      <c r="Q310" s="45">
        <v>2135</v>
      </c>
      <c r="R310" s="45">
        <v>213.5</v>
      </c>
      <c r="S310" s="45">
        <v>1921.5</v>
      </c>
    </row>
    <row r="311" spans="1:19" x14ac:dyDescent="0.3">
      <c r="A311" s="21">
        <v>10310</v>
      </c>
      <c r="B311" s="21" t="s">
        <v>404</v>
      </c>
      <c r="C311" s="21" t="s">
        <v>1695</v>
      </c>
      <c r="D311" s="21">
        <v>9294567050</v>
      </c>
      <c r="E311" s="21" t="s">
        <v>219</v>
      </c>
      <c r="F311" s="21" t="s">
        <v>150</v>
      </c>
      <c r="G311" s="43" t="s">
        <v>99</v>
      </c>
      <c r="H311" s="43" t="s">
        <v>92</v>
      </c>
      <c r="I311" s="43">
        <v>2</v>
      </c>
      <c r="J311" s="43">
        <v>1805</v>
      </c>
      <c r="K311" s="43">
        <v>0</v>
      </c>
      <c r="L311" s="44">
        <v>45347</v>
      </c>
      <c r="M311" s="43" t="s">
        <v>43</v>
      </c>
      <c r="N311" s="43" t="s">
        <v>25</v>
      </c>
      <c r="O311" s="43" t="s">
        <v>174</v>
      </c>
      <c r="P311" s="43" t="s">
        <v>1813</v>
      </c>
      <c r="Q311" s="45">
        <v>3610</v>
      </c>
      <c r="R311" s="45">
        <v>0</v>
      </c>
      <c r="S311" s="45">
        <v>3610</v>
      </c>
    </row>
    <row r="312" spans="1:19" x14ac:dyDescent="0.3">
      <c r="A312" s="21">
        <v>10311</v>
      </c>
      <c r="B312" s="21" t="s">
        <v>404</v>
      </c>
      <c r="C312" s="21" t="s">
        <v>405</v>
      </c>
      <c r="D312" s="21" t="s">
        <v>1812</v>
      </c>
      <c r="E312" s="21" t="s">
        <v>57</v>
      </c>
      <c r="F312" s="21" t="s">
        <v>50</v>
      </c>
      <c r="G312" s="43" t="s">
        <v>106</v>
      </c>
      <c r="H312" s="43" t="s">
        <v>83</v>
      </c>
      <c r="I312" s="43">
        <v>3</v>
      </c>
      <c r="J312" s="43">
        <v>6383</v>
      </c>
      <c r="K312" s="43">
        <v>20</v>
      </c>
      <c r="L312" s="44">
        <v>45466</v>
      </c>
      <c r="M312" s="43" t="s">
        <v>43</v>
      </c>
      <c r="N312" s="43" t="s">
        <v>25</v>
      </c>
      <c r="O312" s="43" t="s">
        <v>174</v>
      </c>
      <c r="P312" s="43">
        <v>4</v>
      </c>
      <c r="Q312" s="45">
        <v>19149</v>
      </c>
      <c r="R312" s="45">
        <v>3829.8</v>
      </c>
      <c r="S312" s="45">
        <v>15319.2</v>
      </c>
    </row>
    <row r="313" spans="1:19" x14ac:dyDescent="0.3">
      <c r="A313" s="21">
        <v>10312</v>
      </c>
      <c r="B313" s="21" t="s">
        <v>795</v>
      </c>
      <c r="C313" s="21" t="s">
        <v>1665</v>
      </c>
      <c r="D313" s="21">
        <v>9763765832</v>
      </c>
      <c r="E313" s="21" t="s">
        <v>273</v>
      </c>
      <c r="F313" s="21" t="s">
        <v>50</v>
      </c>
      <c r="G313" s="43" t="s">
        <v>112</v>
      </c>
      <c r="H313" s="43" t="s">
        <v>83</v>
      </c>
      <c r="I313" s="43">
        <v>3</v>
      </c>
      <c r="J313" s="43">
        <v>28497</v>
      </c>
      <c r="K313" s="43">
        <v>0</v>
      </c>
      <c r="L313" s="44">
        <v>45626</v>
      </c>
      <c r="M313" s="43" t="s">
        <v>69</v>
      </c>
      <c r="N313" s="43" t="s">
        <v>25</v>
      </c>
      <c r="O313" s="43" t="s">
        <v>174</v>
      </c>
      <c r="P313" s="43" t="s">
        <v>1813</v>
      </c>
      <c r="Q313" s="45">
        <v>85491</v>
      </c>
      <c r="R313" s="45">
        <v>0</v>
      </c>
      <c r="S313" s="45">
        <v>85491</v>
      </c>
    </row>
    <row r="314" spans="1:19" x14ac:dyDescent="0.3">
      <c r="A314" s="21">
        <v>10313</v>
      </c>
      <c r="B314" s="21" t="s">
        <v>1034</v>
      </c>
      <c r="C314" s="21" t="s">
        <v>1769</v>
      </c>
      <c r="D314" s="21">
        <v>9874226315</v>
      </c>
      <c r="E314" s="21" t="s">
        <v>57</v>
      </c>
      <c r="F314" s="21" t="s">
        <v>50</v>
      </c>
      <c r="G314" s="43" t="s">
        <v>368</v>
      </c>
      <c r="H314" s="43" t="s">
        <v>22</v>
      </c>
      <c r="I314" s="43">
        <v>5</v>
      </c>
      <c r="J314" s="43">
        <v>1527</v>
      </c>
      <c r="K314" s="43">
        <v>0</v>
      </c>
      <c r="L314" s="44">
        <v>45371</v>
      </c>
      <c r="M314" s="43" t="s">
        <v>1649</v>
      </c>
      <c r="N314" s="43" t="s">
        <v>25</v>
      </c>
      <c r="O314" s="43" t="s">
        <v>1641</v>
      </c>
      <c r="P314" s="43" t="s">
        <v>1813</v>
      </c>
      <c r="Q314" s="45">
        <v>7635</v>
      </c>
      <c r="R314" s="45">
        <v>0</v>
      </c>
      <c r="S314" s="45">
        <v>7635</v>
      </c>
    </row>
    <row r="315" spans="1:19" x14ac:dyDescent="0.3">
      <c r="A315" s="21">
        <v>10314</v>
      </c>
      <c r="B315" s="21" t="s">
        <v>1121</v>
      </c>
      <c r="C315" s="21" t="s">
        <v>1122</v>
      </c>
      <c r="D315" s="21">
        <v>9800508475</v>
      </c>
      <c r="E315" s="21" t="s">
        <v>391</v>
      </c>
      <c r="F315" s="21" t="s">
        <v>90</v>
      </c>
      <c r="G315" s="43" t="s">
        <v>179</v>
      </c>
      <c r="H315" s="43" t="s">
        <v>60</v>
      </c>
      <c r="I315" s="43">
        <v>2</v>
      </c>
      <c r="J315" s="43">
        <v>707</v>
      </c>
      <c r="K315" s="43">
        <v>5</v>
      </c>
      <c r="L315" s="44">
        <v>45550</v>
      </c>
      <c r="M315" s="43" t="s">
        <v>69</v>
      </c>
      <c r="N315" s="43" t="s">
        <v>25</v>
      </c>
      <c r="O315" s="43" t="s">
        <v>53</v>
      </c>
      <c r="P315" s="43">
        <v>1</v>
      </c>
      <c r="Q315" s="45">
        <v>1414</v>
      </c>
      <c r="R315" s="45">
        <v>70.7</v>
      </c>
      <c r="S315" s="45">
        <v>1343.3</v>
      </c>
    </row>
    <row r="316" spans="1:19" x14ac:dyDescent="0.3">
      <c r="A316" s="21">
        <v>10315</v>
      </c>
      <c r="B316" s="21" t="s">
        <v>621</v>
      </c>
      <c r="C316" s="21" t="s">
        <v>1728</v>
      </c>
      <c r="D316" s="21">
        <v>9284698769</v>
      </c>
      <c r="E316" s="21" t="s">
        <v>273</v>
      </c>
      <c r="F316" s="21" t="s">
        <v>50</v>
      </c>
      <c r="G316" s="43" t="s">
        <v>21</v>
      </c>
      <c r="H316" s="43" t="s">
        <v>22</v>
      </c>
      <c r="I316" s="43">
        <v>5</v>
      </c>
      <c r="J316" s="43">
        <v>725</v>
      </c>
      <c r="K316" s="43">
        <v>0</v>
      </c>
      <c r="L316" s="44">
        <v>45520</v>
      </c>
      <c r="M316" s="43" t="s">
        <v>1646</v>
      </c>
      <c r="N316" s="43" t="s">
        <v>25</v>
      </c>
      <c r="O316" s="43" t="s">
        <v>53</v>
      </c>
      <c r="P316" s="43" t="s">
        <v>1813</v>
      </c>
      <c r="Q316" s="45">
        <v>3625</v>
      </c>
      <c r="R316" s="45">
        <v>0</v>
      </c>
      <c r="S316" s="45">
        <v>3625</v>
      </c>
    </row>
    <row r="317" spans="1:19" x14ac:dyDescent="0.3">
      <c r="A317" s="21">
        <v>10316</v>
      </c>
      <c r="B317" s="21" t="s">
        <v>906</v>
      </c>
      <c r="C317" s="21" t="s">
        <v>907</v>
      </c>
      <c r="D317" s="21">
        <v>9179337540</v>
      </c>
      <c r="E317" s="21" t="s">
        <v>74</v>
      </c>
      <c r="F317" s="21" t="s">
        <v>75</v>
      </c>
      <c r="G317" s="43" t="s">
        <v>179</v>
      </c>
      <c r="H317" s="43" t="s">
        <v>60</v>
      </c>
      <c r="I317" s="43">
        <v>3</v>
      </c>
      <c r="J317" s="43">
        <v>615</v>
      </c>
      <c r="K317" s="43">
        <v>0</v>
      </c>
      <c r="L317" s="44">
        <v>45340</v>
      </c>
      <c r="M317" s="43" t="s">
        <v>43</v>
      </c>
      <c r="N317" s="43" t="s">
        <v>456</v>
      </c>
      <c r="O317" s="43" t="s">
        <v>45</v>
      </c>
      <c r="P317" s="43">
        <v>5</v>
      </c>
      <c r="Q317" s="45">
        <v>1845</v>
      </c>
      <c r="R317" s="45">
        <v>0</v>
      </c>
      <c r="S317" s="45">
        <v>1845</v>
      </c>
    </row>
    <row r="318" spans="1:19" x14ac:dyDescent="0.3">
      <c r="A318" s="21">
        <v>10317</v>
      </c>
      <c r="B318" s="21" t="s">
        <v>923</v>
      </c>
      <c r="C318" s="21" t="s">
        <v>1768</v>
      </c>
      <c r="D318" s="21" t="s">
        <v>1812</v>
      </c>
      <c r="E318" s="21" t="s">
        <v>74</v>
      </c>
      <c r="F318" s="21" t="s">
        <v>75</v>
      </c>
      <c r="G318" s="43" t="s">
        <v>161</v>
      </c>
      <c r="H318" s="43" t="s">
        <v>83</v>
      </c>
      <c r="I318" s="43">
        <v>1</v>
      </c>
      <c r="J318" s="43">
        <v>26986</v>
      </c>
      <c r="K318" s="43">
        <v>0</v>
      </c>
      <c r="L318" s="44">
        <v>45423</v>
      </c>
      <c r="M318" s="43" t="s">
        <v>24</v>
      </c>
      <c r="N318" s="43" t="s">
        <v>25</v>
      </c>
      <c r="O318" s="43" t="s">
        <v>1641</v>
      </c>
      <c r="P318" s="43">
        <v>1</v>
      </c>
      <c r="Q318" s="45">
        <v>26986</v>
      </c>
      <c r="R318" s="45">
        <v>0</v>
      </c>
      <c r="S318" s="45">
        <v>26986</v>
      </c>
    </row>
    <row r="319" spans="1:19" x14ac:dyDescent="0.3">
      <c r="A319" s="21">
        <v>10318</v>
      </c>
      <c r="B319" s="21" t="s">
        <v>379</v>
      </c>
      <c r="C319" s="21" t="s">
        <v>1690</v>
      </c>
      <c r="D319" s="21">
        <v>9999973191</v>
      </c>
      <c r="E319" s="21" t="s">
        <v>279</v>
      </c>
      <c r="F319" s="21" t="s">
        <v>259</v>
      </c>
      <c r="G319" s="43" t="s">
        <v>106</v>
      </c>
      <c r="H319" s="43" t="s">
        <v>83</v>
      </c>
      <c r="I319" s="43">
        <v>4</v>
      </c>
      <c r="J319" s="43">
        <v>8088</v>
      </c>
      <c r="K319" s="43">
        <v>5</v>
      </c>
      <c r="L319" s="44">
        <v>45641</v>
      </c>
      <c r="M319" s="43" t="s">
        <v>69</v>
      </c>
      <c r="N319" s="43" t="s">
        <v>25</v>
      </c>
      <c r="O319" s="43" t="s">
        <v>1641</v>
      </c>
      <c r="P319" s="43">
        <v>5</v>
      </c>
      <c r="Q319" s="45">
        <v>32352</v>
      </c>
      <c r="R319" s="45">
        <v>1617.6</v>
      </c>
      <c r="S319" s="45">
        <v>30734.400000000001</v>
      </c>
    </row>
    <row r="320" spans="1:19" x14ac:dyDescent="0.3">
      <c r="A320" s="21">
        <v>10319</v>
      </c>
      <c r="B320" s="21" t="s">
        <v>658</v>
      </c>
      <c r="C320" s="21" t="s">
        <v>1796</v>
      </c>
      <c r="D320" s="21" t="s">
        <v>1812</v>
      </c>
      <c r="E320" s="21" t="s">
        <v>371</v>
      </c>
      <c r="F320" s="21" t="s">
        <v>98</v>
      </c>
      <c r="G320" s="43" t="s">
        <v>155</v>
      </c>
      <c r="H320" s="43" t="s">
        <v>92</v>
      </c>
      <c r="I320" s="43">
        <v>5</v>
      </c>
      <c r="J320" s="43">
        <v>481</v>
      </c>
      <c r="K320" s="43">
        <v>10</v>
      </c>
      <c r="L320" s="44">
        <v>45535</v>
      </c>
      <c r="M320" s="43" t="s">
        <v>1649</v>
      </c>
      <c r="N320" s="43" t="s">
        <v>456</v>
      </c>
      <c r="O320" s="43" t="s">
        <v>45</v>
      </c>
      <c r="P320" s="43">
        <v>2</v>
      </c>
      <c r="Q320" s="45">
        <v>2405</v>
      </c>
      <c r="R320" s="45">
        <v>240.5</v>
      </c>
      <c r="S320" s="45">
        <v>2164.5</v>
      </c>
    </row>
    <row r="321" spans="1:19" x14ac:dyDescent="0.3">
      <c r="A321" s="21">
        <v>10320</v>
      </c>
      <c r="B321" s="21" t="s">
        <v>194</v>
      </c>
      <c r="C321" s="21" t="s">
        <v>1664</v>
      </c>
      <c r="D321" s="21">
        <v>9908927019</v>
      </c>
      <c r="E321" s="21" t="s">
        <v>273</v>
      </c>
      <c r="F321" s="21" t="s">
        <v>50</v>
      </c>
      <c r="G321" s="43" t="s">
        <v>226</v>
      </c>
      <c r="H321" s="43" t="s">
        <v>22</v>
      </c>
      <c r="I321" s="43">
        <v>5</v>
      </c>
      <c r="J321" s="43">
        <v>1183</v>
      </c>
      <c r="K321" s="43">
        <v>5</v>
      </c>
      <c r="L321" s="44">
        <v>45408</v>
      </c>
      <c r="M321" s="43" t="s">
        <v>43</v>
      </c>
      <c r="N321" s="43" t="s">
        <v>25</v>
      </c>
      <c r="O321" s="43" t="s">
        <v>53</v>
      </c>
      <c r="P321" s="43">
        <v>3</v>
      </c>
      <c r="Q321" s="45">
        <v>5915</v>
      </c>
      <c r="R321" s="45">
        <v>295.75</v>
      </c>
      <c r="S321" s="45">
        <v>5619.25</v>
      </c>
    </row>
    <row r="322" spans="1:19" x14ac:dyDescent="0.3">
      <c r="A322" s="21">
        <v>10321</v>
      </c>
      <c r="B322" s="21" t="s">
        <v>795</v>
      </c>
      <c r="C322" s="21" t="s">
        <v>1665</v>
      </c>
      <c r="D322" s="21" t="s">
        <v>1812</v>
      </c>
      <c r="E322" s="21" t="s">
        <v>279</v>
      </c>
      <c r="F322" s="21" t="s">
        <v>259</v>
      </c>
      <c r="G322" s="43" t="s">
        <v>112</v>
      </c>
      <c r="H322" s="43" t="s">
        <v>83</v>
      </c>
      <c r="I322" s="43">
        <v>3</v>
      </c>
      <c r="J322" s="43">
        <v>31893</v>
      </c>
      <c r="K322" s="43">
        <v>5</v>
      </c>
      <c r="L322" s="44">
        <v>45322</v>
      </c>
      <c r="M322" s="43" t="s">
        <v>24</v>
      </c>
      <c r="N322" s="43" t="s">
        <v>25</v>
      </c>
      <c r="O322" s="43" t="s">
        <v>71</v>
      </c>
      <c r="P322" s="43">
        <v>2</v>
      </c>
      <c r="Q322" s="45">
        <v>95679</v>
      </c>
      <c r="R322" s="45">
        <v>4783.95</v>
      </c>
      <c r="S322" s="45">
        <v>90895.05</v>
      </c>
    </row>
    <row r="323" spans="1:19" x14ac:dyDescent="0.3">
      <c r="A323" s="21">
        <v>10322</v>
      </c>
      <c r="B323" s="21" t="s">
        <v>1014</v>
      </c>
      <c r="C323" s="21" t="s">
        <v>515</v>
      </c>
      <c r="D323" s="21">
        <v>9810054432</v>
      </c>
      <c r="E323" s="21" t="s">
        <v>219</v>
      </c>
      <c r="F323" s="21" t="s">
        <v>150</v>
      </c>
      <c r="G323" s="43" t="s">
        <v>112</v>
      </c>
      <c r="H323" s="43" t="s">
        <v>83</v>
      </c>
      <c r="I323" s="43">
        <v>3</v>
      </c>
      <c r="J323" s="43">
        <v>34236</v>
      </c>
      <c r="K323" s="43">
        <v>10</v>
      </c>
      <c r="L323" s="44">
        <v>45505</v>
      </c>
      <c r="M323" s="43" t="s">
        <v>1646</v>
      </c>
      <c r="N323" s="43" t="s">
        <v>25</v>
      </c>
      <c r="O323" s="43" t="s">
        <v>53</v>
      </c>
      <c r="P323" s="43">
        <v>4</v>
      </c>
      <c r="Q323" s="45">
        <v>102708</v>
      </c>
      <c r="R323" s="45">
        <v>10270.799999999999</v>
      </c>
      <c r="S323" s="45">
        <v>92437.2</v>
      </c>
    </row>
    <row r="324" spans="1:19" x14ac:dyDescent="0.3">
      <c r="A324" s="21">
        <v>10323</v>
      </c>
      <c r="B324" s="21" t="s">
        <v>1584</v>
      </c>
      <c r="C324" s="21" t="s">
        <v>1801</v>
      </c>
      <c r="D324" s="21">
        <v>9203966930</v>
      </c>
      <c r="E324" s="21" t="s">
        <v>38</v>
      </c>
      <c r="F324" s="21" t="s">
        <v>429</v>
      </c>
      <c r="G324" s="43" t="s">
        <v>226</v>
      </c>
      <c r="H324" s="43" t="s">
        <v>22</v>
      </c>
      <c r="I324" s="43">
        <v>3</v>
      </c>
      <c r="J324" s="43">
        <v>995</v>
      </c>
      <c r="K324" s="43">
        <v>0</v>
      </c>
      <c r="L324" s="44">
        <v>45562</v>
      </c>
      <c r="M324" s="43" t="s">
        <v>43</v>
      </c>
      <c r="N324" s="43" t="s">
        <v>119</v>
      </c>
      <c r="O324" s="43" t="s">
        <v>1641</v>
      </c>
      <c r="P324" s="43">
        <v>5</v>
      </c>
      <c r="Q324" s="45">
        <v>2985</v>
      </c>
      <c r="R324" s="45">
        <v>0</v>
      </c>
      <c r="S324" s="45">
        <v>2985</v>
      </c>
    </row>
    <row r="325" spans="1:19" x14ac:dyDescent="0.3">
      <c r="A325" s="21">
        <v>10324</v>
      </c>
      <c r="B325" s="21" t="s">
        <v>822</v>
      </c>
      <c r="C325" s="21" t="s">
        <v>1755</v>
      </c>
      <c r="D325" s="21">
        <v>9660557847</v>
      </c>
      <c r="E325" s="21" t="s">
        <v>172</v>
      </c>
      <c r="F325" s="21" t="s">
        <v>150</v>
      </c>
      <c r="G325" s="43" t="s">
        <v>204</v>
      </c>
      <c r="H325" s="43" t="s">
        <v>143</v>
      </c>
      <c r="I325" s="43">
        <v>4</v>
      </c>
      <c r="J325" s="43">
        <v>164</v>
      </c>
      <c r="K325" s="43">
        <v>0</v>
      </c>
      <c r="L325" s="44">
        <v>45364</v>
      </c>
      <c r="M325" s="43" t="s">
        <v>1646</v>
      </c>
      <c r="N325" s="43" t="s">
        <v>25</v>
      </c>
      <c r="O325" s="43" t="s">
        <v>71</v>
      </c>
      <c r="P325" s="43">
        <v>1</v>
      </c>
      <c r="Q325" s="45">
        <v>656</v>
      </c>
      <c r="R325" s="45">
        <v>0</v>
      </c>
      <c r="S325" s="45">
        <v>656</v>
      </c>
    </row>
    <row r="326" spans="1:19" x14ac:dyDescent="0.3">
      <c r="A326" s="23">
        <v>10325</v>
      </c>
      <c r="B326" s="22" t="s">
        <v>194</v>
      </c>
      <c r="C326" s="22" t="s">
        <v>1664</v>
      </c>
      <c r="D326" s="22">
        <v>9882666639</v>
      </c>
      <c r="E326" s="22" t="s">
        <v>391</v>
      </c>
      <c r="F326" s="22" t="s">
        <v>90</v>
      </c>
      <c r="G326" s="43" t="s">
        <v>155</v>
      </c>
      <c r="H326" s="43" t="s">
        <v>92</v>
      </c>
      <c r="I326" s="43">
        <v>1</v>
      </c>
      <c r="J326" s="43">
        <v>648</v>
      </c>
      <c r="K326" s="43">
        <v>15</v>
      </c>
      <c r="L326" s="44">
        <v>45644</v>
      </c>
      <c r="M326" s="43" t="s">
        <v>69</v>
      </c>
      <c r="N326" s="43" t="s">
        <v>456</v>
      </c>
      <c r="O326" s="43" t="s">
        <v>53</v>
      </c>
      <c r="P326" s="43">
        <v>4</v>
      </c>
      <c r="Q326" s="45">
        <v>648</v>
      </c>
      <c r="R326" s="45">
        <v>97.2</v>
      </c>
      <c r="S326" s="45">
        <v>550.79999999999995</v>
      </c>
    </row>
    <row r="327" spans="1:19" x14ac:dyDescent="0.3">
      <c r="A327" s="23">
        <v>10326</v>
      </c>
      <c r="B327" s="23" t="s">
        <v>72</v>
      </c>
      <c r="C327" s="23" t="s">
        <v>502</v>
      </c>
      <c r="D327" s="23" t="s">
        <v>1812</v>
      </c>
      <c r="E327" s="23" t="s">
        <v>74</v>
      </c>
      <c r="F327" s="23" t="s">
        <v>75</v>
      </c>
      <c r="G327" s="43" t="s">
        <v>368</v>
      </c>
      <c r="H327" s="43" t="s">
        <v>22</v>
      </c>
      <c r="I327" s="43">
        <v>3</v>
      </c>
      <c r="J327" s="43">
        <v>1003</v>
      </c>
      <c r="K327" s="43">
        <v>20</v>
      </c>
      <c r="L327" s="44">
        <v>45419</v>
      </c>
      <c r="M327" s="43" t="s">
        <v>1646</v>
      </c>
      <c r="N327" s="43" t="s">
        <v>25</v>
      </c>
      <c r="O327" s="43" t="s">
        <v>174</v>
      </c>
      <c r="P327" s="43">
        <v>3</v>
      </c>
      <c r="Q327" s="45">
        <v>3009</v>
      </c>
      <c r="R327" s="45">
        <v>601.79999999999995</v>
      </c>
      <c r="S327" s="45">
        <v>2407.1999999999998</v>
      </c>
    </row>
    <row r="328" spans="1:19" x14ac:dyDescent="0.3">
      <c r="A328" s="21">
        <v>10327</v>
      </c>
      <c r="B328" s="21" t="s">
        <v>968</v>
      </c>
      <c r="C328" s="21" t="s">
        <v>1752</v>
      </c>
      <c r="D328" s="21">
        <v>9232705251</v>
      </c>
      <c r="E328" s="21" t="s">
        <v>279</v>
      </c>
      <c r="F328" s="21" t="s">
        <v>259</v>
      </c>
      <c r="G328" s="43" t="s">
        <v>179</v>
      </c>
      <c r="H328" s="43" t="s">
        <v>60</v>
      </c>
      <c r="I328" s="43">
        <v>3</v>
      </c>
      <c r="J328" s="43">
        <v>482</v>
      </c>
      <c r="K328" s="43">
        <v>0</v>
      </c>
      <c r="L328" s="44">
        <v>45617</v>
      </c>
      <c r="M328" s="43" t="s">
        <v>43</v>
      </c>
      <c r="N328" s="43" t="s">
        <v>119</v>
      </c>
      <c r="O328" s="43" t="s">
        <v>174</v>
      </c>
      <c r="P328" s="43">
        <v>3</v>
      </c>
      <c r="Q328" s="45">
        <v>1446</v>
      </c>
      <c r="R328" s="45">
        <v>0</v>
      </c>
      <c r="S328" s="45">
        <v>1446</v>
      </c>
    </row>
    <row r="329" spans="1:19" x14ac:dyDescent="0.3">
      <c r="A329" s="21">
        <v>10328</v>
      </c>
      <c r="B329" s="21" t="s">
        <v>716</v>
      </c>
      <c r="C329" s="21" t="s">
        <v>1667</v>
      </c>
      <c r="D329" s="21">
        <v>9551006373</v>
      </c>
      <c r="E329" s="21" t="s">
        <v>74</v>
      </c>
      <c r="F329" s="21" t="s">
        <v>75</v>
      </c>
      <c r="G329" s="43" t="s">
        <v>204</v>
      </c>
      <c r="H329" s="43" t="s">
        <v>143</v>
      </c>
      <c r="I329" s="43">
        <v>5</v>
      </c>
      <c r="J329" s="43">
        <v>432</v>
      </c>
      <c r="K329" s="43">
        <v>0</v>
      </c>
      <c r="L329" s="44">
        <v>45468</v>
      </c>
      <c r="M329" s="43" t="s">
        <v>69</v>
      </c>
      <c r="N329" s="43" t="s">
        <v>25</v>
      </c>
      <c r="O329" s="43" t="s">
        <v>53</v>
      </c>
      <c r="P329" s="43">
        <v>1</v>
      </c>
      <c r="Q329" s="45">
        <v>2160</v>
      </c>
      <c r="R329" s="45">
        <v>0</v>
      </c>
      <c r="S329" s="45">
        <v>2160</v>
      </c>
    </row>
    <row r="330" spans="1:19" x14ac:dyDescent="0.3">
      <c r="A330" s="21">
        <v>10329</v>
      </c>
      <c r="B330" s="21" t="s">
        <v>901</v>
      </c>
      <c r="C330" s="21" t="s">
        <v>1764</v>
      </c>
      <c r="D330" s="21">
        <v>9984935328</v>
      </c>
      <c r="E330" s="21" t="s">
        <v>391</v>
      </c>
      <c r="F330" s="21" t="s">
        <v>90</v>
      </c>
      <c r="G330" s="43" t="s">
        <v>151</v>
      </c>
      <c r="H330" s="43" t="s">
        <v>143</v>
      </c>
      <c r="I330" s="43">
        <v>5</v>
      </c>
      <c r="J330" s="43">
        <v>993</v>
      </c>
      <c r="K330" s="43">
        <v>5</v>
      </c>
      <c r="L330" s="44">
        <v>45612</v>
      </c>
      <c r="M330" s="43" t="s">
        <v>24</v>
      </c>
      <c r="N330" s="43" t="s">
        <v>25</v>
      </c>
      <c r="O330" s="43" t="s">
        <v>174</v>
      </c>
      <c r="P330" s="43">
        <v>4</v>
      </c>
      <c r="Q330" s="45">
        <v>4965</v>
      </c>
      <c r="R330" s="45">
        <v>248.25</v>
      </c>
      <c r="S330" s="45">
        <v>4716.75</v>
      </c>
    </row>
    <row r="331" spans="1:19" x14ac:dyDescent="0.3">
      <c r="A331" s="21">
        <v>10330</v>
      </c>
      <c r="B331" s="21" t="s">
        <v>674</v>
      </c>
      <c r="C331" s="21" t="s">
        <v>1737</v>
      </c>
      <c r="D331" s="21">
        <v>9329793562</v>
      </c>
      <c r="E331" s="21" t="s">
        <v>219</v>
      </c>
      <c r="F331" s="21" t="s">
        <v>150</v>
      </c>
      <c r="G331" s="43" t="s">
        <v>112</v>
      </c>
      <c r="H331" s="43" t="s">
        <v>83</v>
      </c>
      <c r="I331" s="43">
        <v>1</v>
      </c>
      <c r="J331" s="43">
        <v>12158</v>
      </c>
      <c r="K331" s="43">
        <v>10</v>
      </c>
      <c r="L331" s="44">
        <v>45429</v>
      </c>
      <c r="M331" s="43" t="s">
        <v>69</v>
      </c>
      <c r="N331" s="43" t="s">
        <v>25</v>
      </c>
      <c r="O331" s="43" t="s">
        <v>53</v>
      </c>
      <c r="P331" s="43">
        <v>1</v>
      </c>
      <c r="Q331" s="45">
        <v>12158</v>
      </c>
      <c r="R331" s="45">
        <v>1215.8</v>
      </c>
      <c r="S331" s="45">
        <v>10942.2</v>
      </c>
    </row>
    <row r="332" spans="1:19" x14ac:dyDescent="0.3">
      <c r="A332" s="21">
        <v>10331</v>
      </c>
      <c r="B332" s="21" t="s">
        <v>1524</v>
      </c>
      <c r="C332" s="21" t="s">
        <v>1754</v>
      </c>
      <c r="D332" s="21">
        <v>9269188063</v>
      </c>
      <c r="E332" s="21" t="s">
        <v>74</v>
      </c>
      <c r="F332" s="21" t="s">
        <v>75</v>
      </c>
      <c r="G332" s="43" t="s">
        <v>411</v>
      </c>
      <c r="H332" s="43" t="s">
        <v>83</v>
      </c>
      <c r="I332" s="43">
        <v>1</v>
      </c>
      <c r="J332" s="43">
        <v>52268</v>
      </c>
      <c r="K332" s="43">
        <v>15</v>
      </c>
      <c r="L332" s="44">
        <v>45418</v>
      </c>
      <c r="M332" s="43" t="s">
        <v>1646</v>
      </c>
      <c r="N332" s="43" t="s">
        <v>25</v>
      </c>
      <c r="O332" s="43" t="s">
        <v>174</v>
      </c>
      <c r="P332" s="43">
        <v>3</v>
      </c>
      <c r="Q332" s="45">
        <v>52268</v>
      </c>
      <c r="R332" s="45">
        <v>7840.2</v>
      </c>
      <c r="S332" s="45">
        <v>44427.8</v>
      </c>
    </row>
    <row r="333" spans="1:19" x14ac:dyDescent="0.3">
      <c r="A333" s="23">
        <v>10332</v>
      </c>
      <c r="B333" s="22" t="s">
        <v>187</v>
      </c>
      <c r="C333" s="22" t="s">
        <v>1663</v>
      </c>
      <c r="D333" s="22">
        <v>9125612612</v>
      </c>
      <c r="E333" s="22" t="s">
        <v>279</v>
      </c>
      <c r="F333" s="22" t="s">
        <v>259</v>
      </c>
      <c r="G333" s="43" t="s">
        <v>179</v>
      </c>
      <c r="H333" s="43" t="s">
        <v>60</v>
      </c>
      <c r="I333" s="43">
        <v>5</v>
      </c>
      <c r="J333" s="43">
        <v>493</v>
      </c>
      <c r="K333" s="43">
        <v>20</v>
      </c>
      <c r="L333" s="44">
        <v>45379</v>
      </c>
      <c r="M333" s="43" t="s">
        <v>69</v>
      </c>
      <c r="N333" s="43" t="s">
        <v>25</v>
      </c>
      <c r="O333" s="43" t="s">
        <v>34</v>
      </c>
      <c r="P333" s="43">
        <v>5</v>
      </c>
      <c r="Q333" s="45">
        <v>2465</v>
      </c>
      <c r="R333" s="45">
        <v>493</v>
      </c>
      <c r="S333" s="45">
        <v>1972</v>
      </c>
    </row>
    <row r="334" spans="1:19" x14ac:dyDescent="0.3">
      <c r="A334" s="23">
        <v>10333</v>
      </c>
      <c r="B334" s="23" t="s">
        <v>722</v>
      </c>
      <c r="C334" s="23" t="s">
        <v>1704</v>
      </c>
      <c r="D334" s="23">
        <v>9798046200</v>
      </c>
      <c r="E334" s="23" t="s">
        <v>343</v>
      </c>
      <c r="F334" s="23" t="s">
        <v>50</v>
      </c>
      <c r="G334" s="43" t="s">
        <v>280</v>
      </c>
      <c r="H334" s="43" t="s">
        <v>41</v>
      </c>
      <c r="I334" s="43">
        <v>3</v>
      </c>
      <c r="J334" s="43">
        <v>54</v>
      </c>
      <c r="K334" s="43">
        <v>5</v>
      </c>
      <c r="L334" s="44">
        <v>45532</v>
      </c>
      <c r="M334" s="43" t="s">
        <v>1649</v>
      </c>
      <c r="N334" s="43" t="s">
        <v>25</v>
      </c>
      <c r="O334" s="43" t="s">
        <v>45</v>
      </c>
      <c r="P334" s="43">
        <v>3</v>
      </c>
      <c r="Q334" s="45">
        <v>162</v>
      </c>
      <c r="R334" s="45">
        <v>8.1</v>
      </c>
      <c r="S334" s="45">
        <v>153.9</v>
      </c>
    </row>
    <row r="335" spans="1:19" x14ac:dyDescent="0.3">
      <c r="A335" s="21">
        <v>10334</v>
      </c>
      <c r="B335" s="21" t="s">
        <v>651</v>
      </c>
      <c r="C335" s="21" t="s">
        <v>1683</v>
      </c>
      <c r="D335" s="21">
        <v>9817567510</v>
      </c>
      <c r="E335" s="21" t="s">
        <v>172</v>
      </c>
      <c r="F335" s="21" t="s">
        <v>150</v>
      </c>
      <c r="G335" s="43" t="s">
        <v>231</v>
      </c>
      <c r="H335" s="43" t="s">
        <v>83</v>
      </c>
      <c r="I335" s="43">
        <v>4</v>
      </c>
      <c r="J335" s="43">
        <v>1782</v>
      </c>
      <c r="K335" s="43">
        <v>5</v>
      </c>
      <c r="L335" s="44">
        <v>45371</v>
      </c>
      <c r="M335" s="43" t="s">
        <v>69</v>
      </c>
      <c r="N335" s="43" t="s">
        <v>25</v>
      </c>
      <c r="O335" s="43" t="s">
        <v>34</v>
      </c>
      <c r="P335" s="43">
        <v>5</v>
      </c>
      <c r="Q335" s="45">
        <v>7128</v>
      </c>
      <c r="R335" s="45">
        <v>356.4</v>
      </c>
      <c r="S335" s="45">
        <v>6771.6</v>
      </c>
    </row>
    <row r="336" spans="1:19" x14ac:dyDescent="0.3">
      <c r="A336" s="21">
        <v>10335</v>
      </c>
      <c r="B336" s="21" t="s">
        <v>722</v>
      </c>
      <c r="C336" s="21" t="s">
        <v>1645</v>
      </c>
      <c r="D336" s="21">
        <v>9935208824</v>
      </c>
      <c r="E336" s="21" t="s">
        <v>57</v>
      </c>
      <c r="F336" s="21" t="s">
        <v>50</v>
      </c>
      <c r="G336" s="43" t="s">
        <v>161</v>
      </c>
      <c r="H336" s="43" t="s">
        <v>83</v>
      </c>
      <c r="I336" s="43">
        <v>2</v>
      </c>
      <c r="J336" s="43">
        <v>26638</v>
      </c>
      <c r="K336" s="43">
        <v>5</v>
      </c>
      <c r="L336" s="44">
        <v>45335</v>
      </c>
      <c r="M336" s="43" t="s">
        <v>43</v>
      </c>
      <c r="N336" s="43" t="s">
        <v>25</v>
      </c>
      <c r="O336" s="43" t="s">
        <v>174</v>
      </c>
      <c r="P336" s="43">
        <v>5</v>
      </c>
      <c r="Q336" s="45">
        <v>53276</v>
      </c>
      <c r="R336" s="45">
        <v>2663.8</v>
      </c>
      <c r="S336" s="45">
        <v>50612.2</v>
      </c>
    </row>
    <row r="337" spans="1:19" x14ac:dyDescent="0.3">
      <c r="A337" s="21">
        <v>10336</v>
      </c>
      <c r="B337" s="21" t="s">
        <v>1014</v>
      </c>
      <c r="C337" s="21" t="s">
        <v>1713</v>
      </c>
      <c r="D337" s="21">
        <v>9724295871</v>
      </c>
      <c r="E337" s="21" t="s">
        <v>279</v>
      </c>
      <c r="F337" s="21" t="s">
        <v>259</v>
      </c>
      <c r="G337" s="43" t="s">
        <v>112</v>
      </c>
      <c r="H337" s="43" t="s">
        <v>83</v>
      </c>
      <c r="I337" s="43">
        <v>5</v>
      </c>
      <c r="J337" s="43">
        <v>32209</v>
      </c>
      <c r="K337" s="43">
        <v>10</v>
      </c>
      <c r="L337" s="44">
        <v>45570</v>
      </c>
      <c r="M337" s="43" t="s">
        <v>1646</v>
      </c>
      <c r="N337" s="43" t="s">
        <v>25</v>
      </c>
      <c r="O337" s="43" t="s">
        <v>53</v>
      </c>
      <c r="P337" s="43">
        <v>2</v>
      </c>
      <c r="Q337" s="45">
        <v>161045</v>
      </c>
      <c r="R337" s="45">
        <v>16104.5</v>
      </c>
      <c r="S337" s="45">
        <v>144940.5</v>
      </c>
    </row>
    <row r="338" spans="1:19" x14ac:dyDescent="0.3">
      <c r="A338" s="21">
        <v>10337</v>
      </c>
      <c r="B338" s="21" t="s">
        <v>1051</v>
      </c>
      <c r="C338" s="21" t="s">
        <v>1670</v>
      </c>
      <c r="D338" s="21">
        <v>9696578672</v>
      </c>
      <c r="E338" s="21" t="s">
        <v>38</v>
      </c>
      <c r="F338" s="21" t="s">
        <v>429</v>
      </c>
      <c r="G338" s="43" t="s">
        <v>226</v>
      </c>
      <c r="H338" s="43" t="s">
        <v>22</v>
      </c>
      <c r="I338" s="43">
        <v>2</v>
      </c>
      <c r="J338" s="43">
        <v>1785</v>
      </c>
      <c r="K338" s="43">
        <v>0</v>
      </c>
      <c r="L338" s="44">
        <v>45525</v>
      </c>
      <c r="M338" s="43" t="s">
        <v>43</v>
      </c>
      <c r="N338" s="43" t="s">
        <v>25</v>
      </c>
      <c r="O338" s="43" t="s">
        <v>34</v>
      </c>
      <c r="P338" s="43" t="s">
        <v>1813</v>
      </c>
      <c r="Q338" s="45">
        <v>3570</v>
      </c>
      <c r="R338" s="45">
        <v>0</v>
      </c>
      <c r="S338" s="45">
        <v>3570</v>
      </c>
    </row>
    <row r="339" spans="1:19" x14ac:dyDescent="0.3">
      <c r="A339" s="21">
        <v>10338</v>
      </c>
      <c r="B339" s="21" t="s">
        <v>1121</v>
      </c>
      <c r="C339" s="21" t="s">
        <v>1781</v>
      </c>
      <c r="D339" s="21">
        <v>9155322403</v>
      </c>
      <c r="E339" s="21" t="s">
        <v>219</v>
      </c>
      <c r="F339" s="21" t="s">
        <v>150</v>
      </c>
      <c r="G339" s="43" t="s">
        <v>155</v>
      </c>
      <c r="H339" s="43" t="s">
        <v>92</v>
      </c>
      <c r="I339" s="43">
        <v>3</v>
      </c>
      <c r="J339" s="43">
        <v>880</v>
      </c>
      <c r="K339" s="43">
        <v>20</v>
      </c>
      <c r="L339" s="44">
        <v>45460</v>
      </c>
      <c r="M339" s="43" t="s">
        <v>43</v>
      </c>
      <c r="N339" s="43" t="s">
        <v>25</v>
      </c>
      <c r="O339" s="43" t="s">
        <v>45</v>
      </c>
      <c r="P339" s="43">
        <v>2</v>
      </c>
      <c r="Q339" s="45">
        <v>2640</v>
      </c>
      <c r="R339" s="45">
        <v>528</v>
      </c>
      <c r="S339" s="45">
        <v>2112</v>
      </c>
    </row>
    <row r="340" spans="1:19" x14ac:dyDescent="0.3">
      <c r="A340" s="21">
        <v>10339</v>
      </c>
      <c r="B340" s="21" t="s">
        <v>870</v>
      </c>
      <c r="C340" s="21" t="s">
        <v>1761</v>
      </c>
      <c r="D340" s="21">
        <v>9610489751</v>
      </c>
      <c r="E340" s="21" t="s">
        <v>197</v>
      </c>
      <c r="F340" s="21" t="s">
        <v>191</v>
      </c>
      <c r="G340" s="43" t="s">
        <v>155</v>
      </c>
      <c r="H340" s="43" t="s">
        <v>92</v>
      </c>
      <c r="I340" s="43">
        <v>5</v>
      </c>
      <c r="J340" s="43">
        <v>634</v>
      </c>
      <c r="K340" s="43">
        <v>15</v>
      </c>
      <c r="L340" s="44">
        <v>45369</v>
      </c>
      <c r="M340" s="43" t="s">
        <v>43</v>
      </c>
      <c r="N340" s="43" t="s">
        <v>25</v>
      </c>
      <c r="O340" s="43" t="s">
        <v>34</v>
      </c>
      <c r="P340" s="43">
        <v>4</v>
      </c>
      <c r="Q340" s="45">
        <v>3170</v>
      </c>
      <c r="R340" s="45">
        <v>475.5</v>
      </c>
      <c r="S340" s="45">
        <v>2694.5</v>
      </c>
    </row>
    <row r="341" spans="1:19" x14ac:dyDescent="0.3">
      <c r="A341" s="21">
        <v>10340</v>
      </c>
      <c r="B341" s="21" t="s">
        <v>310</v>
      </c>
      <c r="C341" s="21" t="s">
        <v>1640</v>
      </c>
      <c r="D341" s="21" t="s">
        <v>1812</v>
      </c>
      <c r="E341" s="21" t="s">
        <v>74</v>
      </c>
      <c r="F341" s="21" t="s">
        <v>75</v>
      </c>
      <c r="G341" s="43" t="s">
        <v>179</v>
      </c>
      <c r="H341" s="43" t="s">
        <v>60</v>
      </c>
      <c r="I341" s="43">
        <v>2</v>
      </c>
      <c r="J341" s="43">
        <v>212</v>
      </c>
      <c r="K341" s="43">
        <v>5</v>
      </c>
      <c r="L341" s="44">
        <v>45607</v>
      </c>
      <c r="M341" s="43" t="s">
        <v>24</v>
      </c>
      <c r="N341" s="43" t="s">
        <v>25</v>
      </c>
      <c r="O341" s="43" t="s">
        <v>53</v>
      </c>
      <c r="P341" s="43">
        <v>3</v>
      </c>
      <c r="Q341" s="45">
        <v>424</v>
      </c>
      <c r="R341" s="45">
        <v>21.2</v>
      </c>
      <c r="S341" s="45">
        <v>402.8</v>
      </c>
    </row>
    <row r="342" spans="1:19" x14ac:dyDescent="0.3">
      <c r="A342" s="21">
        <v>10341</v>
      </c>
      <c r="B342" s="21" t="s">
        <v>95</v>
      </c>
      <c r="C342" s="21" t="s">
        <v>1648</v>
      </c>
      <c r="D342" s="21">
        <v>9953802889</v>
      </c>
      <c r="E342" s="21" t="s">
        <v>371</v>
      </c>
      <c r="F342" s="21" t="s">
        <v>98</v>
      </c>
      <c r="G342" s="43" t="s">
        <v>99</v>
      </c>
      <c r="H342" s="43" t="s">
        <v>92</v>
      </c>
      <c r="I342" s="43">
        <v>5</v>
      </c>
      <c r="J342" s="43">
        <v>4232</v>
      </c>
      <c r="K342" s="43">
        <v>0</v>
      </c>
      <c r="L342" s="44">
        <v>45578</v>
      </c>
      <c r="M342" s="43" t="s">
        <v>1649</v>
      </c>
      <c r="N342" s="43" t="s">
        <v>25</v>
      </c>
      <c r="O342" s="43" t="s">
        <v>34</v>
      </c>
      <c r="P342" s="43">
        <v>4</v>
      </c>
      <c r="Q342" s="45">
        <v>21160</v>
      </c>
      <c r="R342" s="45">
        <v>0</v>
      </c>
      <c r="S342" s="45">
        <v>21160</v>
      </c>
    </row>
    <row r="343" spans="1:19" x14ac:dyDescent="0.3">
      <c r="A343" s="21">
        <v>10342</v>
      </c>
      <c r="B343" s="21" t="s">
        <v>1176</v>
      </c>
      <c r="C343" s="21" t="s">
        <v>670</v>
      </c>
      <c r="D343" s="21">
        <v>9200056545</v>
      </c>
      <c r="E343" s="21" t="s">
        <v>74</v>
      </c>
      <c r="F343" s="21" t="s">
        <v>75</v>
      </c>
      <c r="G343" s="43" t="s">
        <v>161</v>
      </c>
      <c r="H343" s="43" t="s">
        <v>83</v>
      </c>
      <c r="I343" s="43">
        <v>3</v>
      </c>
      <c r="J343" s="43">
        <v>25650</v>
      </c>
      <c r="K343" s="43">
        <v>0</v>
      </c>
      <c r="L343" s="44">
        <v>45569</v>
      </c>
      <c r="M343" s="43" t="s">
        <v>24</v>
      </c>
      <c r="N343" s="43" t="s">
        <v>25</v>
      </c>
      <c r="O343" s="43" t="s">
        <v>53</v>
      </c>
      <c r="P343" s="43">
        <v>2</v>
      </c>
      <c r="Q343" s="45">
        <v>76950</v>
      </c>
      <c r="R343" s="45">
        <v>0</v>
      </c>
      <c r="S343" s="45">
        <v>76950</v>
      </c>
    </row>
    <row r="344" spans="1:19" x14ac:dyDescent="0.3">
      <c r="A344" s="21">
        <v>10343</v>
      </c>
      <c r="B344" s="21" t="s">
        <v>1729</v>
      </c>
      <c r="C344" s="21" t="s">
        <v>1730</v>
      </c>
      <c r="D344" s="21">
        <v>9429018070</v>
      </c>
      <c r="E344" s="21" t="s">
        <v>343</v>
      </c>
      <c r="F344" s="21" t="s">
        <v>50</v>
      </c>
      <c r="G344" s="43" t="s">
        <v>280</v>
      </c>
      <c r="H344" s="43" t="s">
        <v>41</v>
      </c>
      <c r="I344" s="43">
        <v>5</v>
      </c>
      <c r="J344" s="43">
        <v>83</v>
      </c>
      <c r="K344" s="43">
        <v>0</v>
      </c>
      <c r="L344" s="44">
        <v>45598</v>
      </c>
      <c r="M344" s="43" t="s">
        <v>69</v>
      </c>
      <c r="N344" s="43" t="s">
        <v>119</v>
      </c>
      <c r="O344" s="43" t="s">
        <v>45</v>
      </c>
      <c r="P344" s="43">
        <v>2</v>
      </c>
      <c r="Q344" s="45">
        <v>415</v>
      </c>
      <c r="R344" s="45">
        <v>0</v>
      </c>
      <c r="S344" s="45">
        <v>415</v>
      </c>
    </row>
    <row r="345" spans="1:19" x14ac:dyDescent="0.3">
      <c r="A345" s="21">
        <v>10344</v>
      </c>
      <c r="B345" s="21" t="s">
        <v>1014</v>
      </c>
      <c r="C345" s="21" t="s">
        <v>515</v>
      </c>
      <c r="D345" s="21">
        <v>9793496200</v>
      </c>
      <c r="E345" s="21" t="s">
        <v>197</v>
      </c>
      <c r="F345" s="21" t="s">
        <v>191</v>
      </c>
      <c r="G345" s="43" t="s">
        <v>411</v>
      </c>
      <c r="H345" s="43" t="s">
        <v>83</v>
      </c>
      <c r="I345" s="43">
        <v>2</v>
      </c>
      <c r="J345" s="43">
        <v>48961</v>
      </c>
      <c r="K345" s="43">
        <v>15</v>
      </c>
      <c r="L345" s="44">
        <v>45296</v>
      </c>
      <c r="M345" s="43" t="s">
        <v>1649</v>
      </c>
      <c r="N345" s="43" t="s">
        <v>25</v>
      </c>
      <c r="O345" s="43" t="s">
        <v>45</v>
      </c>
      <c r="P345" s="43">
        <v>3</v>
      </c>
      <c r="Q345" s="45">
        <v>97922</v>
      </c>
      <c r="R345" s="45">
        <v>14688.3</v>
      </c>
      <c r="S345" s="45">
        <v>83233.7</v>
      </c>
    </row>
    <row r="346" spans="1:19" x14ac:dyDescent="0.3">
      <c r="A346" s="21">
        <v>10345</v>
      </c>
      <c r="B346" s="21" t="s">
        <v>414</v>
      </c>
      <c r="C346" s="21" t="s">
        <v>415</v>
      </c>
      <c r="D346" s="21">
        <v>9342436932</v>
      </c>
      <c r="E346" s="21" t="s">
        <v>197</v>
      </c>
      <c r="F346" s="21" t="s">
        <v>191</v>
      </c>
      <c r="G346" s="43" t="s">
        <v>368</v>
      </c>
      <c r="H346" s="43" t="s">
        <v>22</v>
      </c>
      <c r="I346" s="43">
        <v>4</v>
      </c>
      <c r="J346" s="43">
        <v>1037</v>
      </c>
      <c r="K346" s="43">
        <v>0</v>
      </c>
      <c r="L346" s="44">
        <v>45584</v>
      </c>
      <c r="M346" s="43" t="s">
        <v>43</v>
      </c>
      <c r="N346" s="43" t="s">
        <v>25</v>
      </c>
      <c r="O346" s="43" t="s">
        <v>45</v>
      </c>
      <c r="P346" s="43" t="s">
        <v>1813</v>
      </c>
      <c r="Q346" s="45">
        <v>4148</v>
      </c>
      <c r="R346" s="45">
        <v>0</v>
      </c>
      <c r="S346" s="45">
        <v>4148</v>
      </c>
    </row>
    <row r="347" spans="1:19" x14ac:dyDescent="0.3">
      <c r="A347" s="21">
        <v>10346</v>
      </c>
      <c r="B347" s="21" t="s">
        <v>520</v>
      </c>
      <c r="C347" s="21" t="s">
        <v>1714</v>
      </c>
      <c r="D347" s="21">
        <v>9139992943</v>
      </c>
      <c r="E347" s="21" t="s">
        <v>273</v>
      </c>
      <c r="F347" s="21" t="s">
        <v>50</v>
      </c>
      <c r="G347" s="43" t="s">
        <v>21</v>
      </c>
      <c r="H347" s="43" t="s">
        <v>22</v>
      </c>
      <c r="I347" s="43">
        <v>2</v>
      </c>
      <c r="J347" s="43">
        <v>619</v>
      </c>
      <c r="K347" s="43">
        <v>0</v>
      </c>
      <c r="L347" s="44">
        <v>45388</v>
      </c>
      <c r="M347" s="43" t="s">
        <v>43</v>
      </c>
      <c r="N347" s="43" t="s">
        <v>25</v>
      </c>
      <c r="O347" s="43" t="s">
        <v>45</v>
      </c>
      <c r="P347" s="43">
        <v>3</v>
      </c>
      <c r="Q347" s="45">
        <v>1238</v>
      </c>
      <c r="R347" s="45">
        <v>0</v>
      </c>
      <c r="S347" s="45">
        <v>1238</v>
      </c>
    </row>
    <row r="348" spans="1:19" x14ac:dyDescent="0.3">
      <c r="A348" s="21">
        <v>10347</v>
      </c>
      <c r="B348" s="21" t="s">
        <v>394</v>
      </c>
      <c r="C348" s="21" t="s">
        <v>212</v>
      </c>
      <c r="D348" s="21">
        <v>9283081129</v>
      </c>
      <c r="E348" s="21" t="s">
        <v>371</v>
      </c>
      <c r="F348" s="21" t="s">
        <v>98</v>
      </c>
      <c r="G348" s="43" t="s">
        <v>179</v>
      </c>
      <c r="H348" s="43" t="s">
        <v>60</v>
      </c>
      <c r="I348" s="43">
        <v>2</v>
      </c>
      <c r="J348" s="43">
        <v>752</v>
      </c>
      <c r="K348" s="43">
        <v>0</v>
      </c>
      <c r="L348" s="44">
        <v>45419</v>
      </c>
      <c r="M348" s="43" t="s">
        <v>43</v>
      </c>
      <c r="N348" s="43" t="s">
        <v>25</v>
      </c>
      <c r="O348" s="43" t="s">
        <v>45</v>
      </c>
      <c r="P348" s="43">
        <v>2</v>
      </c>
      <c r="Q348" s="45">
        <v>1504</v>
      </c>
      <c r="R348" s="45">
        <v>0</v>
      </c>
      <c r="S348" s="45">
        <v>1504</v>
      </c>
    </row>
    <row r="349" spans="1:19" x14ac:dyDescent="0.3">
      <c r="A349" s="21">
        <v>10348</v>
      </c>
      <c r="B349" s="21" t="s">
        <v>538</v>
      </c>
      <c r="C349" s="21" t="s">
        <v>1699</v>
      </c>
      <c r="D349" s="21">
        <v>9771081482</v>
      </c>
      <c r="E349" s="21" t="s">
        <v>57</v>
      </c>
      <c r="F349" s="21" t="s">
        <v>50</v>
      </c>
      <c r="G349" s="43" t="s">
        <v>151</v>
      </c>
      <c r="H349" s="43" t="s">
        <v>143</v>
      </c>
      <c r="I349" s="43">
        <v>1</v>
      </c>
      <c r="J349" s="43">
        <v>863</v>
      </c>
      <c r="K349" s="43">
        <v>0</v>
      </c>
      <c r="L349" s="44">
        <v>45610</v>
      </c>
      <c r="M349" s="43" t="s">
        <v>1649</v>
      </c>
      <c r="N349" s="43" t="s">
        <v>25</v>
      </c>
      <c r="O349" s="43" t="s">
        <v>45</v>
      </c>
      <c r="P349" s="43">
        <v>1</v>
      </c>
      <c r="Q349" s="45">
        <v>863</v>
      </c>
      <c r="R349" s="45">
        <v>0</v>
      </c>
      <c r="S349" s="45">
        <v>863</v>
      </c>
    </row>
    <row r="350" spans="1:19" x14ac:dyDescent="0.3">
      <c r="A350" s="21">
        <v>10349</v>
      </c>
      <c r="B350" s="21" t="s">
        <v>870</v>
      </c>
      <c r="C350" s="21" t="s">
        <v>1761</v>
      </c>
      <c r="D350" s="21">
        <v>9558278909</v>
      </c>
      <c r="E350" s="21" t="s">
        <v>371</v>
      </c>
      <c r="F350" s="21" t="s">
        <v>98</v>
      </c>
      <c r="G350" s="43" t="s">
        <v>151</v>
      </c>
      <c r="H350" s="43" t="s">
        <v>143</v>
      </c>
      <c r="I350" s="43">
        <v>3</v>
      </c>
      <c r="J350" s="43">
        <v>798</v>
      </c>
      <c r="K350" s="43">
        <v>20</v>
      </c>
      <c r="L350" s="44">
        <v>45551</v>
      </c>
      <c r="M350" s="43" t="s">
        <v>1649</v>
      </c>
      <c r="N350" s="43" t="s">
        <v>25</v>
      </c>
      <c r="O350" s="43" t="s">
        <v>34</v>
      </c>
      <c r="P350" s="43">
        <v>3</v>
      </c>
      <c r="Q350" s="45">
        <v>2394</v>
      </c>
      <c r="R350" s="45">
        <v>478.8</v>
      </c>
      <c r="S350" s="45">
        <v>1915.2</v>
      </c>
    </row>
    <row r="351" spans="1:19" x14ac:dyDescent="0.3">
      <c r="A351" s="21">
        <v>10350</v>
      </c>
      <c r="B351" s="21" t="s">
        <v>1176</v>
      </c>
      <c r="C351" s="21" t="s">
        <v>1736</v>
      </c>
      <c r="D351" s="21">
        <v>9866161868</v>
      </c>
      <c r="E351" s="21" t="s">
        <v>343</v>
      </c>
      <c r="F351" s="21" t="s">
        <v>50</v>
      </c>
      <c r="G351" s="43" t="s">
        <v>155</v>
      </c>
      <c r="H351" s="43" t="s">
        <v>92</v>
      </c>
      <c r="I351" s="43">
        <v>3</v>
      </c>
      <c r="J351" s="43">
        <v>803</v>
      </c>
      <c r="K351" s="43">
        <v>10</v>
      </c>
      <c r="L351" s="44">
        <v>45463</v>
      </c>
      <c r="M351" s="43" t="s">
        <v>1646</v>
      </c>
      <c r="N351" s="43" t="s">
        <v>456</v>
      </c>
      <c r="O351" s="43" t="s">
        <v>53</v>
      </c>
      <c r="P351" s="43">
        <v>4</v>
      </c>
      <c r="Q351" s="45">
        <v>2409</v>
      </c>
      <c r="R351" s="45">
        <v>240.9</v>
      </c>
      <c r="S351" s="45">
        <v>2168.1</v>
      </c>
    </row>
    <row r="352" spans="1:19" x14ac:dyDescent="0.3">
      <c r="A352" s="21">
        <v>10351</v>
      </c>
      <c r="B352" s="21" t="s">
        <v>1758</v>
      </c>
      <c r="C352" s="21" t="s">
        <v>1645</v>
      </c>
      <c r="D352" s="21">
        <v>9511016062</v>
      </c>
      <c r="E352" s="21" t="s">
        <v>371</v>
      </c>
      <c r="F352" s="21" t="s">
        <v>98</v>
      </c>
      <c r="G352" s="43" t="s">
        <v>280</v>
      </c>
      <c r="H352" s="43" t="s">
        <v>41</v>
      </c>
      <c r="I352" s="43">
        <v>4</v>
      </c>
      <c r="J352" s="43">
        <v>164</v>
      </c>
      <c r="K352" s="43">
        <v>0</v>
      </c>
      <c r="L352" s="44">
        <v>45649</v>
      </c>
      <c r="M352" s="43" t="s">
        <v>69</v>
      </c>
      <c r="N352" s="43" t="s">
        <v>25</v>
      </c>
      <c r="O352" s="43" t="s">
        <v>45</v>
      </c>
      <c r="P352" s="43" t="s">
        <v>1813</v>
      </c>
      <c r="Q352" s="45">
        <v>656</v>
      </c>
      <c r="R352" s="45">
        <v>0</v>
      </c>
      <c r="S352" s="45">
        <v>656</v>
      </c>
    </row>
    <row r="353" spans="1:19" x14ac:dyDescent="0.3">
      <c r="A353" s="21">
        <v>10352</v>
      </c>
      <c r="B353" s="21" t="s">
        <v>1222</v>
      </c>
      <c r="C353" s="21" t="s">
        <v>1718</v>
      </c>
      <c r="D353" s="21">
        <v>9547894730</v>
      </c>
      <c r="E353" s="21" t="s">
        <v>279</v>
      </c>
      <c r="F353" s="21" t="s">
        <v>259</v>
      </c>
      <c r="G353" s="43" t="s">
        <v>198</v>
      </c>
      <c r="H353" s="43" t="s">
        <v>41</v>
      </c>
      <c r="I353" s="43">
        <v>2</v>
      </c>
      <c r="J353" s="43">
        <v>242</v>
      </c>
      <c r="K353" s="43">
        <v>20</v>
      </c>
      <c r="L353" s="44">
        <v>45583</v>
      </c>
      <c r="M353" s="43" t="s">
        <v>1649</v>
      </c>
      <c r="N353" s="43" t="s">
        <v>456</v>
      </c>
      <c r="O353" s="43" t="s">
        <v>53</v>
      </c>
      <c r="P353" s="43">
        <v>1</v>
      </c>
      <c r="Q353" s="45">
        <v>484</v>
      </c>
      <c r="R353" s="45">
        <v>96.8</v>
      </c>
      <c r="S353" s="45">
        <v>387.2</v>
      </c>
    </row>
    <row r="354" spans="1:19" x14ac:dyDescent="0.3">
      <c r="A354" s="21">
        <v>10353</v>
      </c>
      <c r="B354" s="21" t="s">
        <v>364</v>
      </c>
      <c r="C354" s="21" t="s">
        <v>1689</v>
      </c>
      <c r="D354" s="21">
        <v>9734774527</v>
      </c>
      <c r="E354" s="21" t="s">
        <v>172</v>
      </c>
      <c r="F354" s="21" t="s">
        <v>150</v>
      </c>
      <c r="G354" s="43" t="s">
        <v>368</v>
      </c>
      <c r="H354" s="43" t="s">
        <v>22</v>
      </c>
      <c r="I354" s="43">
        <v>4</v>
      </c>
      <c r="J354" s="43">
        <v>852</v>
      </c>
      <c r="K354" s="43">
        <v>0</v>
      </c>
      <c r="L354" s="44">
        <v>45581</v>
      </c>
      <c r="M354" s="43" t="s">
        <v>69</v>
      </c>
      <c r="N354" s="43" t="s">
        <v>25</v>
      </c>
      <c r="O354" s="43" t="s">
        <v>1641</v>
      </c>
      <c r="P354" s="43">
        <v>3</v>
      </c>
      <c r="Q354" s="45">
        <v>3408</v>
      </c>
      <c r="R354" s="45">
        <v>0</v>
      </c>
      <c r="S354" s="45">
        <v>3408</v>
      </c>
    </row>
    <row r="355" spans="1:19" x14ac:dyDescent="0.3">
      <c r="A355" s="21">
        <v>10354</v>
      </c>
      <c r="B355" s="21" t="s">
        <v>364</v>
      </c>
      <c r="C355" s="21" t="s">
        <v>1689</v>
      </c>
      <c r="D355" s="21">
        <v>9268928043</v>
      </c>
      <c r="E355" s="21" t="s">
        <v>273</v>
      </c>
      <c r="F355" s="21" t="s">
        <v>50</v>
      </c>
      <c r="G355" s="43" t="s">
        <v>161</v>
      </c>
      <c r="H355" s="43" t="s">
        <v>83</v>
      </c>
      <c r="I355" s="43">
        <v>2</v>
      </c>
      <c r="J355" s="43">
        <v>29618</v>
      </c>
      <c r="K355" s="43">
        <v>15</v>
      </c>
      <c r="L355" s="44">
        <v>45338</v>
      </c>
      <c r="M355" s="43" t="s">
        <v>1649</v>
      </c>
      <c r="N355" s="43" t="s">
        <v>25</v>
      </c>
      <c r="O355" s="43" t="s">
        <v>45</v>
      </c>
      <c r="P355" s="43">
        <v>1</v>
      </c>
      <c r="Q355" s="45">
        <v>59236</v>
      </c>
      <c r="R355" s="45">
        <v>8885.4</v>
      </c>
      <c r="S355" s="45">
        <v>50350.6</v>
      </c>
    </row>
    <row r="356" spans="1:19" x14ac:dyDescent="0.3">
      <c r="A356" s="21">
        <v>10355</v>
      </c>
      <c r="B356" s="21" t="s">
        <v>314</v>
      </c>
      <c r="C356" s="21" t="s">
        <v>1682</v>
      </c>
      <c r="D356" s="21">
        <v>9662052827</v>
      </c>
      <c r="E356" s="21" t="s">
        <v>111</v>
      </c>
      <c r="F356" s="21" t="s">
        <v>111</v>
      </c>
      <c r="G356" s="43" t="s">
        <v>106</v>
      </c>
      <c r="H356" s="43" t="s">
        <v>83</v>
      </c>
      <c r="I356" s="43">
        <v>5</v>
      </c>
      <c r="J356" s="43">
        <v>10725</v>
      </c>
      <c r="K356" s="43">
        <v>20</v>
      </c>
      <c r="L356" s="44">
        <v>45493</v>
      </c>
      <c r="M356" s="43" t="s">
        <v>1649</v>
      </c>
      <c r="N356" s="43" t="s">
        <v>25</v>
      </c>
      <c r="O356" s="43" t="s">
        <v>71</v>
      </c>
      <c r="P356" s="43">
        <v>2</v>
      </c>
      <c r="Q356" s="45">
        <v>53625</v>
      </c>
      <c r="R356" s="45">
        <v>10725</v>
      </c>
      <c r="S356" s="45">
        <v>42900</v>
      </c>
    </row>
    <row r="357" spans="1:19" x14ac:dyDescent="0.3">
      <c r="A357" s="21">
        <v>10356</v>
      </c>
      <c r="B357" s="21" t="s">
        <v>883</v>
      </c>
      <c r="C357" s="21" t="s">
        <v>1645</v>
      </c>
      <c r="D357" s="21">
        <v>9586375291</v>
      </c>
      <c r="E357" s="21" t="s">
        <v>273</v>
      </c>
      <c r="F357" s="21" t="s">
        <v>50</v>
      </c>
      <c r="G357" s="43" t="s">
        <v>204</v>
      </c>
      <c r="H357" s="43" t="s">
        <v>143</v>
      </c>
      <c r="I357" s="43">
        <v>5</v>
      </c>
      <c r="J357" s="43">
        <v>272</v>
      </c>
      <c r="K357" s="43">
        <v>0</v>
      </c>
      <c r="L357" s="44">
        <v>45389</v>
      </c>
      <c r="M357" s="43" t="s">
        <v>24</v>
      </c>
      <c r="N357" s="43" t="s">
        <v>25</v>
      </c>
      <c r="O357" s="43" t="s">
        <v>174</v>
      </c>
      <c r="P357" s="43">
        <v>3</v>
      </c>
      <c r="Q357" s="45">
        <v>1360</v>
      </c>
      <c r="R357" s="45">
        <v>0</v>
      </c>
      <c r="S357" s="45">
        <v>1360</v>
      </c>
    </row>
    <row r="358" spans="1:19" x14ac:dyDescent="0.3">
      <c r="A358" s="21">
        <v>10357</v>
      </c>
      <c r="B358" s="21" t="s">
        <v>1110</v>
      </c>
      <c r="C358" s="21" t="s">
        <v>1645</v>
      </c>
      <c r="D358" s="21">
        <v>9310767362</v>
      </c>
      <c r="E358" s="21" t="s">
        <v>391</v>
      </c>
      <c r="F358" s="21" t="s">
        <v>90</v>
      </c>
      <c r="G358" s="43" t="s">
        <v>151</v>
      </c>
      <c r="H358" s="43" t="s">
        <v>143</v>
      </c>
      <c r="I358" s="43">
        <v>3</v>
      </c>
      <c r="J358" s="43">
        <v>854</v>
      </c>
      <c r="K358" s="43">
        <v>0</v>
      </c>
      <c r="L358" s="44">
        <v>45633</v>
      </c>
      <c r="M358" s="43" t="s">
        <v>24</v>
      </c>
      <c r="N358" s="43" t="s">
        <v>25</v>
      </c>
      <c r="O358" s="43" t="s">
        <v>53</v>
      </c>
      <c r="P358" s="43">
        <v>1</v>
      </c>
      <c r="Q358" s="45">
        <v>2562</v>
      </c>
      <c r="R358" s="45">
        <v>0</v>
      </c>
      <c r="S358" s="45">
        <v>2562</v>
      </c>
    </row>
    <row r="359" spans="1:19" x14ac:dyDescent="0.3">
      <c r="A359" s="21">
        <v>10358</v>
      </c>
      <c r="B359" s="21" t="s">
        <v>244</v>
      </c>
      <c r="C359" s="21" t="s">
        <v>1672</v>
      </c>
      <c r="D359" s="21">
        <v>9401258174</v>
      </c>
      <c r="E359" s="21" t="s">
        <v>57</v>
      </c>
      <c r="F359" s="21" t="s">
        <v>50</v>
      </c>
      <c r="G359" s="43" t="s">
        <v>21</v>
      </c>
      <c r="H359" s="43" t="s">
        <v>22</v>
      </c>
      <c r="I359" s="43">
        <v>5</v>
      </c>
      <c r="J359" s="43">
        <v>802</v>
      </c>
      <c r="K359" s="43">
        <v>10</v>
      </c>
      <c r="L359" s="44">
        <v>45552</v>
      </c>
      <c r="M359" s="43" t="s">
        <v>43</v>
      </c>
      <c r="N359" s="43" t="s">
        <v>25</v>
      </c>
      <c r="O359" s="43" t="s">
        <v>174</v>
      </c>
      <c r="P359" s="43">
        <v>4</v>
      </c>
      <c r="Q359" s="45">
        <v>4010</v>
      </c>
      <c r="R359" s="45">
        <v>401</v>
      </c>
      <c r="S359" s="45">
        <v>3609</v>
      </c>
    </row>
    <row r="360" spans="1:19" x14ac:dyDescent="0.3">
      <c r="A360" s="21">
        <v>10359</v>
      </c>
      <c r="B360" s="21" t="s">
        <v>603</v>
      </c>
      <c r="C360" s="21" t="s">
        <v>389</v>
      </c>
      <c r="D360" s="21">
        <v>9400174494</v>
      </c>
      <c r="E360" s="21" t="s">
        <v>38</v>
      </c>
      <c r="F360" s="21" t="s">
        <v>429</v>
      </c>
      <c r="G360" s="43" t="s">
        <v>112</v>
      </c>
      <c r="H360" s="43" t="s">
        <v>83</v>
      </c>
      <c r="I360" s="43">
        <v>5</v>
      </c>
      <c r="J360" s="43">
        <v>19420</v>
      </c>
      <c r="K360" s="43">
        <v>0</v>
      </c>
      <c r="L360" s="44">
        <v>45360</v>
      </c>
      <c r="M360" s="43" t="s">
        <v>43</v>
      </c>
      <c r="N360" s="43" t="s">
        <v>25</v>
      </c>
      <c r="O360" s="43" t="s">
        <v>34</v>
      </c>
      <c r="P360" s="43">
        <v>4</v>
      </c>
      <c r="Q360" s="45">
        <v>97100</v>
      </c>
      <c r="R360" s="45">
        <v>0</v>
      </c>
      <c r="S360" s="45">
        <v>97100</v>
      </c>
    </row>
    <row r="361" spans="1:19" x14ac:dyDescent="0.3">
      <c r="A361" s="21">
        <v>10360</v>
      </c>
      <c r="B361" s="21" t="s">
        <v>603</v>
      </c>
      <c r="C361" s="21" t="s">
        <v>1693</v>
      </c>
      <c r="D361" s="21">
        <v>9304242721</v>
      </c>
      <c r="E361" s="21" t="s">
        <v>57</v>
      </c>
      <c r="F361" s="21" t="s">
        <v>50</v>
      </c>
      <c r="G361" s="43" t="s">
        <v>280</v>
      </c>
      <c r="H361" s="43" t="s">
        <v>41</v>
      </c>
      <c r="I361" s="43">
        <v>1</v>
      </c>
      <c r="J361" s="43">
        <v>107</v>
      </c>
      <c r="K361" s="43">
        <v>0</v>
      </c>
      <c r="L361" s="44">
        <v>45415</v>
      </c>
      <c r="M361" s="43" t="s">
        <v>24</v>
      </c>
      <c r="N361" s="43" t="s">
        <v>25</v>
      </c>
      <c r="O361" s="43" t="s">
        <v>71</v>
      </c>
      <c r="P361" s="43" t="s">
        <v>1813</v>
      </c>
      <c r="Q361" s="45">
        <v>107</v>
      </c>
      <c r="R361" s="45">
        <v>0</v>
      </c>
      <c r="S361" s="45">
        <v>107</v>
      </c>
    </row>
    <row r="362" spans="1:19" x14ac:dyDescent="0.3">
      <c r="A362" s="21">
        <v>10361</v>
      </c>
      <c r="B362" s="21" t="s">
        <v>968</v>
      </c>
      <c r="C362" s="21" t="s">
        <v>1752</v>
      </c>
      <c r="D362" s="21">
        <v>9101746119</v>
      </c>
      <c r="E362" s="21" t="s">
        <v>111</v>
      </c>
      <c r="F362" s="21" t="s">
        <v>111</v>
      </c>
      <c r="G362" s="43" t="s">
        <v>231</v>
      </c>
      <c r="H362" s="43" t="s">
        <v>83</v>
      </c>
      <c r="I362" s="43">
        <v>2</v>
      </c>
      <c r="J362" s="43">
        <v>2737</v>
      </c>
      <c r="K362" s="43">
        <v>0</v>
      </c>
      <c r="L362" s="44">
        <v>45643</v>
      </c>
      <c r="M362" s="43" t="s">
        <v>43</v>
      </c>
      <c r="N362" s="43" t="s">
        <v>25</v>
      </c>
      <c r="O362" s="43" t="s">
        <v>45</v>
      </c>
      <c r="P362" s="43">
        <v>4</v>
      </c>
      <c r="Q362" s="45">
        <v>5474</v>
      </c>
      <c r="R362" s="45">
        <v>0</v>
      </c>
      <c r="S362" s="45">
        <v>5474</v>
      </c>
    </row>
    <row r="363" spans="1:19" x14ac:dyDescent="0.3">
      <c r="A363" s="21">
        <v>10362</v>
      </c>
      <c r="B363" s="21" t="s">
        <v>524</v>
      </c>
      <c r="C363" s="21" t="s">
        <v>1715</v>
      </c>
      <c r="D363" s="21">
        <v>9105740054</v>
      </c>
      <c r="E363" s="21" t="s">
        <v>57</v>
      </c>
      <c r="F363" s="21" t="s">
        <v>50</v>
      </c>
      <c r="G363" s="43" t="s">
        <v>280</v>
      </c>
      <c r="H363" s="43" t="s">
        <v>41</v>
      </c>
      <c r="I363" s="43">
        <v>2</v>
      </c>
      <c r="J363" s="43">
        <v>49</v>
      </c>
      <c r="K363" s="43">
        <v>0</v>
      </c>
      <c r="L363" s="44">
        <v>45504</v>
      </c>
      <c r="M363" s="43" t="s">
        <v>1649</v>
      </c>
      <c r="N363" s="43" t="s">
        <v>25</v>
      </c>
      <c r="O363" s="43" t="s">
        <v>71</v>
      </c>
      <c r="P363" s="43">
        <v>2</v>
      </c>
      <c r="Q363" s="45">
        <v>98</v>
      </c>
      <c r="R363" s="45">
        <v>0</v>
      </c>
      <c r="S363" s="45">
        <v>98</v>
      </c>
    </row>
    <row r="364" spans="1:19" x14ac:dyDescent="0.3">
      <c r="A364" s="21">
        <v>10363</v>
      </c>
      <c r="B364" s="21" t="s">
        <v>849</v>
      </c>
      <c r="C364" s="21" t="s">
        <v>1727</v>
      </c>
      <c r="D364" s="21">
        <v>9866343133</v>
      </c>
      <c r="E364" s="21" t="s">
        <v>38</v>
      </c>
      <c r="F364" s="21" t="s">
        <v>429</v>
      </c>
      <c r="G364" s="43" t="s">
        <v>231</v>
      </c>
      <c r="H364" s="43" t="s">
        <v>83</v>
      </c>
      <c r="I364" s="43">
        <v>1</v>
      </c>
      <c r="J364" s="43">
        <v>2174</v>
      </c>
      <c r="K364" s="43">
        <v>0</v>
      </c>
      <c r="L364" s="44">
        <v>45381</v>
      </c>
      <c r="M364" s="43" t="s">
        <v>69</v>
      </c>
      <c r="N364" s="43" t="s">
        <v>25</v>
      </c>
      <c r="O364" s="43" t="s">
        <v>71</v>
      </c>
      <c r="P364" s="43" t="s">
        <v>1813</v>
      </c>
      <c r="Q364" s="45">
        <v>2174</v>
      </c>
      <c r="R364" s="45">
        <v>0</v>
      </c>
      <c r="S364" s="45">
        <v>2174</v>
      </c>
    </row>
    <row r="365" spans="1:19" x14ac:dyDescent="0.3">
      <c r="A365" s="21">
        <v>10364</v>
      </c>
      <c r="B365" s="21" t="s">
        <v>1093</v>
      </c>
      <c r="C365" s="21" t="s">
        <v>1734</v>
      </c>
      <c r="D365" s="21" t="s">
        <v>1812</v>
      </c>
      <c r="E365" s="21" t="s">
        <v>273</v>
      </c>
      <c r="F365" s="21" t="s">
        <v>50</v>
      </c>
      <c r="G365" s="43" t="s">
        <v>411</v>
      </c>
      <c r="H365" s="43" t="s">
        <v>83</v>
      </c>
      <c r="I365" s="43">
        <v>4</v>
      </c>
      <c r="J365" s="43">
        <v>59988</v>
      </c>
      <c r="K365" s="43">
        <v>0</v>
      </c>
      <c r="L365" s="44">
        <v>45382</v>
      </c>
      <c r="M365" s="43" t="s">
        <v>43</v>
      </c>
      <c r="N365" s="43" t="s">
        <v>25</v>
      </c>
      <c r="O365" s="43" t="s">
        <v>34</v>
      </c>
      <c r="P365" s="43">
        <v>3</v>
      </c>
      <c r="Q365" s="45">
        <v>239952</v>
      </c>
      <c r="R365" s="45">
        <v>0</v>
      </c>
      <c r="S365" s="45">
        <v>239952</v>
      </c>
    </row>
    <row r="366" spans="1:19" x14ac:dyDescent="0.3">
      <c r="A366" s="21">
        <v>10365</v>
      </c>
      <c r="B366" s="21" t="s">
        <v>475</v>
      </c>
      <c r="C366" s="21" t="s">
        <v>1707</v>
      </c>
      <c r="D366" s="21" t="s">
        <v>1812</v>
      </c>
      <c r="E366" s="21" t="s">
        <v>197</v>
      </c>
      <c r="F366" s="21" t="s">
        <v>191</v>
      </c>
      <c r="G366" s="43" t="s">
        <v>411</v>
      </c>
      <c r="H366" s="43" t="s">
        <v>83</v>
      </c>
      <c r="I366" s="43">
        <v>1</v>
      </c>
      <c r="J366" s="43">
        <v>49881</v>
      </c>
      <c r="K366" s="43">
        <v>20</v>
      </c>
      <c r="L366" s="44">
        <v>45580</v>
      </c>
      <c r="M366" s="43" t="s">
        <v>69</v>
      </c>
      <c r="N366" s="43" t="s">
        <v>119</v>
      </c>
      <c r="O366" s="43" t="s">
        <v>45</v>
      </c>
      <c r="P366" s="43">
        <v>1</v>
      </c>
      <c r="Q366" s="45">
        <v>49881</v>
      </c>
      <c r="R366" s="45">
        <v>9976.2000000000007</v>
      </c>
      <c r="S366" s="45">
        <v>39904.800000000003</v>
      </c>
    </row>
    <row r="367" spans="1:19" x14ac:dyDescent="0.3">
      <c r="A367" s="21">
        <v>10366</v>
      </c>
      <c r="B367" s="21" t="s">
        <v>578</v>
      </c>
      <c r="C367" s="21" t="s">
        <v>1721</v>
      </c>
      <c r="D367" s="21">
        <v>9791246107</v>
      </c>
      <c r="E367" s="21" t="s">
        <v>57</v>
      </c>
      <c r="F367" s="21" t="s">
        <v>50</v>
      </c>
      <c r="G367" s="43" t="s">
        <v>99</v>
      </c>
      <c r="H367" s="43" t="s">
        <v>92</v>
      </c>
      <c r="I367" s="43">
        <v>4</v>
      </c>
      <c r="J367" s="43">
        <v>3495</v>
      </c>
      <c r="K367" s="43">
        <v>5</v>
      </c>
      <c r="L367" s="44">
        <v>45360</v>
      </c>
      <c r="M367" s="43" t="s">
        <v>69</v>
      </c>
      <c r="N367" s="43" t="s">
        <v>25</v>
      </c>
      <c r="O367" s="43" t="s">
        <v>53</v>
      </c>
      <c r="P367" s="43">
        <v>5</v>
      </c>
      <c r="Q367" s="45">
        <v>13980</v>
      </c>
      <c r="R367" s="45">
        <v>699</v>
      </c>
      <c r="S367" s="45">
        <v>13281</v>
      </c>
    </row>
    <row r="368" spans="1:19" x14ac:dyDescent="0.3">
      <c r="A368" s="21">
        <v>10367</v>
      </c>
      <c r="B368" s="21" t="s">
        <v>1034</v>
      </c>
      <c r="C368" s="21" t="s">
        <v>1769</v>
      </c>
      <c r="D368" s="21">
        <v>9254464500</v>
      </c>
      <c r="E368" s="21" t="s">
        <v>111</v>
      </c>
      <c r="F368" s="21" t="s">
        <v>111</v>
      </c>
      <c r="G368" s="43" t="s">
        <v>368</v>
      </c>
      <c r="H368" s="43" t="s">
        <v>22</v>
      </c>
      <c r="I368" s="43">
        <v>5</v>
      </c>
      <c r="J368" s="43">
        <v>1816</v>
      </c>
      <c r="K368" s="43">
        <v>10</v>
      </c>
      <c r="L368" s="44">
        <v>45327</v>
      </c>
      <c r="M368" s="43" t="s">
        <v>69</v>
      </c>
      <c r="N368" s="43" t="s">
        <v>25</v>
      </c>
      <c r="O368" s="43" t="s">
        <v>71</v>
      </c>
      <c r="P368" s="43">
        <v>1</v>
      </c>
      <c r="Q368" s="45">
        <v>9080</v>
      </c>
      <c r="R368" s="45">
        <v>908</v>
      </c>
      <c r="S368" s="45">
        <v>8172</v>
      </c>
    </row>
    <row r="369" spans="1:19" x14ac:dyDescent="0.3">
      <c r="A369" s="21">
        <v>10368</v>
      </c>
      <c r="B369" s="21" t="s">
        <v>499</v>
      </c>
      <c r="C369" s="21" t="s">
        <v>1652</v>
      </c>
      <c r="D369" s="21">
        <v>9194161968</v>
      </c>
      <c r="E369" s="21" t="s">
        <v>38</v>
      </c>
      <c r="F369" s="21" t="s">
        <v>429</v>
      </c>
      <c r="G369" s="43" t="s">
        <v>411</v>
      </c>
      <c r="H369" s="43" t="s">
        <v>83</v>
      </c>
      <c r="I369" s="43">
        <v>1</v>
      </c>
      <c r="J369" s="43">
        <v>64084</v>
      </c>
      <c r="K369" s="43">
        <v>15</v>
      </c>
      <c r="L369" s="44">
        <v>45650</v>
      </c>
      <c r="M369" s="43" t="s">
        <v>1646</v>
      </c>
      <c r="N369" s="43" t="s">
        <v>25</v>
      </c>
      <c r="O369" s="43" t="s">
        <v>34</v>
      </c>
      <c r="P369" s="43">
        <v>3</v>
      </c>
      <c r="Q369" s="45">
        <v>64084</v>
      </c>
      <c r="R369" s="45">
        <v>9612.6</v>
      </c>
      <c r="S369" s="45">
        <v>54471.4</v>
      </c>
    </row>
    <row r="370" spans="1:19" x14ac:dyDescent="0.3">
      <c r="A370" s="21">
        <v>10369</v>
      </c>
      <c r="B370" s="21" t="s">
        <v>1627</v>
      </c>
      <c r="C370" s="21" t="s">
        <v>1772</v>
      </c>
      <c r="D370" s="21">
        <v>9104256500</v>
      </c>
      <c r="E370" s="21" t="s">
        <v>273</v>
      </c>
      <c r="F370" s="21" t="s">
        <v>50</v>
      </c>
      <c r="G370" s="43" t="s">
        <v>21</v>
      </c>
      <c r="H370" s="43" t="s">
        <v>22</v>
      </c>
      <c r="I370" s="43">
        <v>3</v>
      </c>
      <c r="J370" s="43">
        <v>1198</v>
      </c>
      <c r="K370" s="43">
        <v>0</v>
      </c>
      <c r="L370" s="44">
        <v>45579</v>
      </c>
      <c r="M370" s="43" t="s">
        <v>69</v>
      </c>
      <c r="N370" s="43" t="s">
        <v>25</v>
      </c>
      <c r="O370" s="43" t="s">
        <v>71</v>
      </c>
      <c r="P370" s="43">
        <v>1</v>
      </c>
      <c r="Q370" s="45">
        <v>3594</v>
      </c>
      <c r="R370" s="45">
        <v>0</v>
      </c>
      <c r="S370" s="45">
        <v>3594</v>
      </c>
    </row>
    <row r="371" spans="1:19" x14ac:dyDescent="0.3">
      <c r="A371" s="21">
        <v>10370</v>
      </c>
      <c r="B371" s="21" t="s">
        <v>541</v>
      </c>
      <c r="C371" s="21" t="s">
        <v>1644</v>
      </c>
      <c r="D371" s="21">
        <v>9140181331</v>
      </c>
      <c r="E371" s="21" t="s">
        <v>219</v>
      </c>
      <c r="F371" s="21" t="s">
        <v>150</v>
      </c>
      <c r="G371" s="43" t="s">
        <v>198</v>
      </c>
      <c r="H371" s="43" t="s">
        <v>41</v>
      </c>
      <c r="I371" s="43">
        <v>3</v>
      </c>
      <c r="J371" s="43">
        <v>367</v>
      </c>
      <c r="K371" s="43">
        <v>0</v>
      </c>
      <c r="L371" s="44">
        <v>45586</v>
      </c>
      <c r="M371" s="43" t="s">
        <v>69</v>
      </c>
      <c r="N371" s="43" t="s">
        <v>25</v>
      </c>
      <c r="O371" s="43" t="s">
        <v>71</v>
      </c>
      <c r="P371" s="43">
        <v>4</v>
      </c>
      <c r="Q371" s="45">
        <v>1101</v>
      </c>
      <c r="R371" s="45">
        <v>0</v>
      </c>
      <c r="S371" s="45">
        <v>1101</v>
      </c>
    </row>
    <row r="372" spans="1:19" x14ac:dyDescent="0.3">
      <c r="A372" s="21">
        <v>10371</v>
      </c>
      <c r="B372" s="21" t="s">
        <v>1191</v>
      </c>
      <c r="C372" s="21" t="s">
        <v>1192</v>
      </c>
      <c r="D372" s="21">
        <v>9184666314</v>
      </c>
      <c r="E372" s="21" t="s">
        <v>197</v>
      </c>
      <c r="F372" s="21" t="s">
        <v>191</v>
      </c>
      <c r="G372" s="43" t="s">
        <v>198</v>
      </c>
      <c r="H372" s="43" t="s">
        <v>41</v>
      </c>
      <c r="I372" s="43">
        <v>4</v>
      </c>
      <c r="J372" s="43">
        <v>147</v>
      </c>
      <c r="K372" s="43">
        <v>0</v>
      </c>
      <c r="L372" s="44">
        <v>45367</v>
      </c>
      <c r="M372" s="43" t="s">
        <v>24</v>
      </c>
      <c r="N372" s="43" t="s">
        <v>25</v>
      </c>
      <c r="O372" s="43" t="s">
        <v>45</v>
      </c>
      <c r="P372" s="43">
        <v>1</v>
      </c>
      <c r="Q372" s="45">
        <v>588</v>
      </c>
      <c r="R372" s="45">
        <v>0</v>
      </c>
      <c r="S372" s="45">
        <v>588</v>
      </c>
    </row>
    <row r="373" spans="1:19" x14ac:dyDescent="0.3">
      <c r="A373" s="21">
        <v>10372</v>
      </c>
      <c r="B373" s="21" t="s">
        <v>1191</v>
      </c>
      <c r="C373" s="21" t="s">
        <v>1790</v>
      </c>
      <c r="D373" s="21" t="s">
        <v>1812</v>
      </c>
      <c r="E373" s="21" t="s">
        <v>279</v>
      </c>
      <c r="F373" s="21" t="s">
        <v>259</v>
      </c>
      <c r="G373" s="43" t="s">
        <v>106</v>
      </c>
      <c r="H373" s="43" t="s">
        <v>83</v>
      </c>
      <c r="I373" s="43">
        <v>5</v>
      </c>
      <c r="J373" s="43">
        <v>12200</v>
      </c>
      <c r="K373" s="43">
        <v>5</v>
      </c>
      <c r="L373" s="44">
        <v>45400</v>
      </c>
      <c r="M373" s="43" t="s">
        <v>69</v>
      </c>
      <c r="N373" s="43" t="s">
        <v>119</v>
      </c>
      <c r="O373" s="43" t="s">
        <v>53</v>
      </c>
      <c r="P373" s="43">
        <v>3</v>
      </c>
      <c r="Q373" s="45">
        <v>61000</v>
      </c>
      <c r="R373" s="45">
        <v>3050</v>
      </c>
      <c r="S373" s="45">
        <v>57950</v>
      </c>
    </row>
    <row r="374" spans="1:19" x14ac:dyDescent="0.3">
      <c r="A374" s="21">
        <v>10373</v>
      </c>
      <c r="B374" s="21" t="s">
        <v>658</v>
      </c>
      <c r="C374" s="21" t="s">
        <v>1645</v>
      </c>
      <c r="D374" s="21" t="s">
        <v>1812</v>
      </c>
      <c r="E374" s="21" t="s">
        <v>273</v>
      </c>
      <c r="F374" s="21" t="s">
        <v>50</v>
      </c>
      <c r="G374" s="43" t="s">
        <v>161</v>
      </c>
      <c r="H374" s="43" t="s">
        <v>83</v>
      </c>
      <c r="I374" s="43">
        <v>2</v>
      </c>
      <c r="J374" s="43">
        <v>19624</v>
      </c>
      <c r="K374" s="43">
        <v>10</v>
      </c>
      <c r="L374" s="44">
        <v>45506</v>
      </c>
      <c r="M374" s="43" t="s">
        <v>1649</v>
      </c>
      <c r="N374" s="43" t="s">
        <v>25</v>
      </c>
      <c r="O374" s="43" t="s">
        <v>53</v>
      </c>
      <c r="P374" s="43">
        <v>4</v>
      </c>
      <c r="Q374" s="45">
        <v>39248</v>
      </c>
      <c r="R374" s="45">
        <v>3924.8</v>
      </c>
      <c r="S374" s="45">
        <v>35323.199999999997</v>
      </c>
    </row>
    <row r="375" spans="1:19" x14ac:dyDescent="0.3">
      <c r="A375" s="21">
        <v>10374</v>
      </c>
      <c r="B375" s="21" t="s">
        <v>255</v>
      </c>
      <c r="C375" s="21" t="s">
        <v>1674</v>
      </c>
      <c r="D375" s="21">
        <v>9432087879</v>
      </c>
      <c r="E375" s="21" t="s">
        <v>172</v>
      </c>
      <c r="F375" s="21" t="s">
        <v>150</v>
      </c>
      <c r="G375" s="43" t="s">
        <v>204</v>
      </c>
      <c r="H375" s="43" t="s">
        <v>143</v>
      </c>
      <c r="I375" s="43">
        <v>4</v>
      </c>
      <c r="J375" s="43">
        <v>215</v>
      </c>
      <c r="K375" s="43">
        <v>0</v>
      </c>
      <c r="L375" s="44">
        <v>45338</v>
      </c>
      <c r="M375" s="43" t="s">
        <v>69</v>
      </c>
      <c r="N375" s="43" t="s">
        <v>25</v>
      </c>
      <c r="O375" s="43" t="s">
        <v>71</v>
      </c>
      <c r="P375" s="43">
        <v>2</v>
      </c>
      <c r="Q375" s="45">
        <v>860</v>
      </c>
      <c r="R375" s="45">
        <v>0</v>
      </c>
      <c r="S375" s="45">
        <v>860</v>
      </c>
    </row>
    <row r="376" spans="1:19" x14ac:dyDescent="0.3">
      <c r="A376" s="21">
        <v>10375</v>
      </c>
      <c r="B376" s="21" t="s">
        <v>1477</v>
      </c>
      <c r="C376" s="21" t="s">
        <v>1779</v>
      </c>
      <c r="D376" s="21">
        <v>9340135002</v>
      </c>
      <c r="E376" s="21" t="s">
        <v>343</v>
      </c>
      <c r="F376" s="21" t="s">
        <v>50</v>
      </c>
      <c r="G376" s="43" t="s">
        <v>21</v>
      </c>
      <c r="H376" s="43" t="s">
        <v>22</v>
      </c>
      <c r="I376" s="43">
        <v>2</v>
      </c>
      <c r="J376" s="43">
        <v>404</v>
      </c>
      <c r="K376" s="43">
        <v>5</v>
      </c>
      <c r="L376" s="44">
        <v>45444</v>
      </c>
      <c r="M376" s="43" t="s">
        <v>1649</v>
      </c>
      <c r="N376" s="43" t="s">
        <v>25</v>
      </c>
      <c r="O376" s="43" t="s">
        <v>71</v>
      </c>
      <c r="P376" s="43">
        <v>2</v>
      </c>
      <c r="Q376" s="45">
        <v>808</v>
      </c>
      <c r="R376" s="45">
        <v>40.4</v>
      </c>
      <c r="S376" s="45">
        <v>767.6</v>
      </c>
    </row>
    <row r="377" spans="1:19" x14ac:dyDescent="0.3">
      <c r="A377" s="21">
        <v>10376</v>
      </c>
      <c r="B377" s="21" t="s">
        <v>722</v>
      </c>
      <c r="C377" s="21" t="s">
        <v>1704</v>
      </c>
      <c r="D377" s="21">
        <v>9704998577</v>
      </c>
      <c r="E377" s="21" t="s">
        <v>197</v>
      </c>
      <c r="F377" s="21" t="s">
        <v>191</v>
      </c>
      <c r="G377" s="43" t="s">
        <v>112</v>
      </c>
      <c r="H377" s="43" t="s">
        <v>83</v>
      </c>
      <c r="I377" s="43">
        <v>5</v>
      </c>
      <c r="J377" s="43">
        <v>29342</v>
      </c>
      <c r="K377" s="43">
        <v>0</v>
      </c>
      <c r="L377" s="44">
        <v>45315</v>
      </c>
      <c r="M377" s="43" t="s">
        <v>24</v>
      </c>
      <c r="N377" s="43" t="s">
        <v>25</v>
      </c>
      <c r="O377" s="43" t="s">
        <v>45</v>
      </c>
      <c r="P377" s="43" t="s">
        <v>1813</v>
      </c>
      <c r="Q377" s="45">
        <v>146710</v>
      </c>
      <c r="R377" s="45">
        <v>0</v>
      </c>
      <c r="S377" s="45">
        <v>146710</v>
      </c>
    </row>
    <row r="378" spans="1:19" x14ac:dyDescent="0.3">
      <c r="A378" s="21">
        <v>10377</v>
      </c>
      <c r="B378" s="21" t="s">
        <v>1051</v>
      </c>
      <c r="C378" s="21" t="s">
        <v>1670</v>
      </c>
      <c r="D378" s="21">
        <v>9841018185</v>
      </c>
      <c r="E378" s="21" t="s">
        <v>219</v>
      </c>
      <c r="F378" s="21" t="s">
        <v>150</v>
      </c>
      <c r="G378" s="43" t="s">
        <v>112</v>
      </c>
      <c r="H378" s="43" t="s">
        <v>83</v>
      </c>
      <c r="I378" s="43">
        <v>1</v>
      </c>
      <c r="J378" s="43">
        <v>15633</v>
      </c>
      <c r="K378" s="43">
        <v>15</v>
      </c>
      <c r="L378" s="44">
        <v>45430</v>
      </c>
      <c r="M378" s="43" t="s">
        <v>69</v>
      </c>
      <c r="N378" s="43" t="s">
        <v>25</v>
      </c>
      <c r="O378" s="43" t="s">
        <v>71</v>
      </c>
      <c r="P378" s="43">
        <v>1</v>
      </c>
      <c r="Q378" s="45">
        <v>15633</v>
      </c>
      <c r="R378" s="45">
        <v>2344.9499999999998</v>
      </c>
      <c r="S378" s="45">
        <v>13288.05</v>
      </c>
    </row>
    <row r="379" spans="1:19" x14ac:dyDescent="0.3">
      <c r="A379" s="21">
        <v>10378</v>
      </c>
      <c r="B379" s="21" t="s">
        <v>54</v>
      </c>
      <c r="C379" s="21" t="s">
        <v>1643</v>
      </c>
      <c r="D379" s="21">
        <v>9554584161</v>
      </c>
      <c r="E379" s="21" t="s">
        <v>57</v>
      </c>
      <c r="F379" s="21" t="s">
        <v>50</v>
      </c>
      <c r="G379" s="43" t="s">
        <v>179</v>
      </c>
      <c r="H379" s="43" t="s">
        <v>60</v>
      </c>
      <c r="I379" s="43">
        <v>1</v>
      </c>
      <c r="J379" s="43">
        <v>620</v>
      </c>
      <c r="K379" s="43">
        <v>15</v>
      </c>
      <c r="L379" s="44">
        <v>45602</v>
      </c>
      <c r="M379" s="43" t="s">
        <v>43</v>
      </c>
      <c r="N379" s="43" t="s">
        <v>25</v>
      </c>
      <c r="O379" s="43" t="s">
        <v>1641</v>
      </c>
      <c r="P379" s="43" t="s">
        <v>1813</v>
      </c>
      <c r="Q379" s="45">
        <v>620</v>
      </c>
      <c r="R379" s="45">
        <v>93</v>
      </c>
      <c r="S379" s="45">
        <v>527</v>
      </c>
    </row>
    <row r="380" spans="1:19" x14ac:dyDescent="0.3">
      <c r="A380" s="21">
        <v>10379</v>
      </c>
      <c r="B380" s="21" t="s">
        <v>707</v>
      </c>
      <c r="C380" s="21" t="s">
        <v>1744</v>
      </c>
      <c r="D380" s="21">
        <v>9583864464</v>
      </c>
      <c r="E380" s="21" t="s">
        <v>391</v>
      </c>
      <c r="F380" s="21" t="s">
        <v>90</v>
      </c>
      <c r="G380" s="43" t="s">
        <v>179</v>
      </c>
      <c r="H380" s="43" t="s">
        <v>60</v>
      </c>
      <c r="I380" s="43">
        <v>4</v>
      </c>
      <c r="J380" s="43">
        <v>632</v>
      </c>
      <c r="K380" s="43">
        <v>0</v>
      </c>
      <c r="L380" s="44">
        <v>45462</v>
      </c>
      <c r="M380" s="43" t="s">
        <v>69</v>
      </c>
      <c r="N380" s="43" t="s">
        <v>25</v>
      </c>
      <c r="O380" s="43" t="s">
        <v>174</v>
      </c>
      <c r="P380" s="43">
        <v>2</v>
      </c>
      <c r="Q380" s="45">
        <v>2528</v>
      </c>
      <c r="R380" s="45">
        <v>0</v>
      </c>
      <c r="S380" s="45">
        <v>2528</v>
      </c>
    </row>
    <row r="381" spans="1:19" x14ac:dyDescent="0.3">
      <c r="A381" s="21">
        <v>10380</v>
      </c>
      <c r="B381" s="21" t="s">
        <v>1774</v>
      </c>
      <c r="C381" s="21" t="s">
        <v>1775</v>
      </c>
      <c r="D381" s="21">
        <v>9451902034</v>
      </c>
      <c r="E381" s="21" t="s">
        <v>57</v>
      </c>
      <c r="F381" s="21" t="s">
        <v>50</v>
      </c>
      <c r="G381" s="43" t="s">
        <v>231</v>
      </c>
      <c r="H381" s="43" t="s">
        <v>83</v>
      </c>
      <c r="I381" s="43">
        <v>2</v>
      </c>
      <c r="J381" s="43">
        <v>2922</v>
      </c>
      <c r="K381" s="43">
        <v>20</v>
      </c>
      <c r="L381" s="44">
        <v>45310</v>
      </c>
      <c r="M381" s="43" t="s">
        <v>69</v>
      </c>
      <c r="N381" s="43" t="s">
        <v>25</v>
      </c>
      <c r="O381" s="43" t="s">
        <v>53</v>
      </c>
      <c r="P381" s="43">
        <v>2</v>
      </c>
      <c r="Q381" s="45">
        <v>5844</v>
      </c>
      <c r="R381" s="45">
        <v>1168.8</v>
      </c>
      <c r="S381" s="45">
        <v>4675.2</v>
      </c>
    </row>
    <row r="382" spans="1:19" x14ac:dyDescent="0.3">
      <c r="A382" s="21">
        <v>10381</v>
      </c>
      <c r="B382" s="21" t="s">
        <v>490</v>
      </c>
      <c r="C382" s="21" t="s">
        <v>1709</v>
      </c>
      <c r="D382" s="21">
        <v>9337836182</v>
      </c>
      <c r="E382" s="21" t="s">
        <v>57</v>
      </c>
      <c r="F382" s="21" t="s">
        <v>50</v>
      </c>
      <c r="G382" s="43" t="s">
        <v>99</v>
      </c>
      <c r="H382" s="43" t="s">
        <v>92</v>
      </c>
      <c r="I382" s="43">
        <v>5</v>
      </c>
      <c r="J382" s="43">
        <v>3377</v>
      </c>
      <c r="K382" s="43">
        <v>0</v>
      </c>
      <c r="L382" s="44">
        <v>45397</v>
      </c>
      <c r="M382" s="43" t="s">
        <v>69</v>
      </c>
      <c r="N382" s="43" t="s">
        <v>25</v>
      </c>
      <c r="O382" s="43" t="s">
        <v>53</v>
      </c>
      <c r="P382" s="43">
        <v>3</v>
      </c>
      <c r="Q382" s="45">
        <v>16885</v>
      </c>
      <c r="R382" s="45">
        <v>0</v>
      </c>
      <c r="S382" s="45">
        <v>16885</v>
      </c>
    </row>
    <row r="383" spans="1:19" x14ac:dyDescent="0.3">
      <c r="A383" s="21">
        <v>10382</v>
      </c>
      <c r="B383" s="21" t="s">
        <v>832</v>
      </c>
      <c r="C383" s="21" t="s">
        <v>1757</v>
      </c>
      <c r="D383" s="21">
        <v>9587889081</v>
      </c>
      <c r="E383" s="21" t="s">
        <v>219</v>
      </c>
      <c r="F383" s="21" t="s">
        <v>150</v>
      </c>
      <c r="G383" s="43" t="s">
        <v>106</v>
      </c>
      <c r="H383" s="43" t="s">
        <v>83</v>
      </c>
      <c r="I383" s="43">
        <v>2</v>
      </c>
      <c r="J383" s="43">
        <v>6236</v>
      </c>
      <c r="K383" s="43">
        <v>0</v>
      </c>
      <c r="L383" s="44">
        <v>45533</v>
      </c>
      <c r="M383" s="43" t="s">
        <v>1649</v>
      </c>
      <c r="N383" s="43" t="s">
        <v>25</v>
      </c>
      <c r="O383" s="43" t="s">
        <v>53</v>
      </c>
      <c r="P383" s="43">
        <v>4</v>
      </c>
      <c r="Q383" s="45">
        <v>12472</v>
      </c>
      <c r="R383" s="45">
        <v>0</v>
      </c>
      <c r="S383" s="45">
        <v>12472</v>
      </c>
    </row>
    <row r="384" spans="1:19" x14ac:dyDescent="0.3">
      <c r="A384" s="21">
        <v>10383</v>
      </c>
      <c r="B384" s="21" t="s">
        <v>250</v>
      </c>
      <c r="C384" s="21" t="s">
        <v>1673</v>
      </c>
      <c r="D384" s="21">
        <v>9135832556</v>
      </c>
      <c r="E384" s="21" t="s">
        <v>197</v>
      </c>
      <c r="F384" s="21" t="s">
        <v>191</v>
      </c>
      <c r="G384" s="43" t="s">
        <v>106</v>
      </c>
      <c r="H384" s="43" t="s">
        <v>83</v>
      </c>
      <c r="I384" s="43">
        <v>1</v>
      </c>
      <c r="J384" s="43">
        <v>10454</v>
      </c>
      <c r="K384" s="43">
        <v>0</v>
      </c>
      <c r="L384" s="44">
        <v>45500</v>
      </c>
      <c r="M384" s="43" t="s">
        <v>43</v>
      </c>
      <c r="N384" s="43" t="s">
        <v>25</v>
      </c>
      <c r="O384" s="43" t="s">
        <v>34</v>
      </c>
      <c r="P384" s="43">
        <v>4</v>
      </c>
      <c r="Q384" s="45">
        <v>10454</v>
      </c>
      <c r="R384" s="45">
        <v>0</v>
      </c>
      <c r="S384" s="45">
        <v>10454</v>
      </c>
    </row>
    <row r="385" spans="1:19" x14ac:dyDescent="0.3">
      <c r="A385" s="21">
        <v>10384</v>
      </c>
      <c r="B385" s="21" t="s">
        <v>1490</v>
      </c>
      <c r="C385" s="21" t="s">
        <v>1807</v>
      </c>
      <c r="D385" s="21">
        <v>9212954531</v>
      </c>
      <c r="E385" s="21" t="s">
        <v>74</v>
      </c>
      <c r="F385" s="21" t="s">
        <v>75</v>
      </c>
      <c r="G385" s="43" t="s">
        <v>226</v>
      </c>
      <c r="H385" s="43" t="s">
        <v>22</v>
      </c>
      <c r="I385" s="43">
        <v>3</v>
      </c>
      <c r="J385" s="43">
        <v>625</v>
      </c>
      <c r="K385" s="43">
        <v>10</v>
      </c>
      <c r="L385" s="44">
        <v>45440</v>
      </c>
      <c r="M385" s="43" t="s">
        <v>69</v>
      </c>
      <c r="N385" s="43" t="s">
        <v>25</v>
      </c>
      <c r="O385" s="43" t="s">
        <v>71</v>
      </c>
      <c r="P385" s="43">
        <v>4</v>
      </c>
      <c r="Q385" s="45">
        <v>1875</v>
      </c>
      <c r="R385" s="45">
        <v>187.5</v>
      </c>
      <c r="S385" s="45">
        <v>1687.5</v>
      </c>
    </row>
    <row r="386" spans="1:19" x14ac:dyDescent="0.3">
      <c r="A386" s="21">
        <v>10385</v>
      </c>
      <c r="B386" s="21" t="s">
        <v>1700</v>
      </c>
      <c r="C386" s="21" t="s">
        <v>1645</v>
      </c>
      <c r="D386" s="21">
        <v>9403341050</v>
      </c>
      <c r="E386" s="21" t="s">
        <v>279</v>
      </c>
      <c r="F386" s="21" t="s">
        <v>259</v>
      </c>
      <c r="G386" s="43" t="s">
        <v>106</v>
      </c>
      <c r="H386" s="43" t="s">
        <v>83</v>
      </c>
      <c r="I386" s="43">
        <v>5</v>
      </c>
      <c r="J386" s="43">
        <v>10475</v>
      </c>
      <c r="K386" s="43">
        <v>5</v>
      </c>
      <c r="L386" s="44">
        <v>45369</v>
      </c>
      <c r="M386" s="43" t="s">
        <v>1646</v>
      </c>
      <c r="N386" s="43" t="s">
        <v>25</v>
      </c>
      <c r="O386" s="43" t="s">
        <v>71</v>
      </c>
      <c r="P386" s="43">
        <v>5</v>
      </c>
      <c r="Q386" s="45">
        <v>52375</v>
      </c>
      <c r="R386" s="45">
        <v>2618.75</v>
      </c>
      <c r="S386" s="45">
        <v>49756.25</v>
      </c>
    </row>
    <row r="387" spans="1:19" x14ac:dyDescent="0.3">
      <c r="A387" s="21">
        <v>10386</v>
      </c>
      <c r="B387" s="21" t="s">
        <v>538</v>
      </c>
      <c r="C387" s="21" t="s">
        <v>1699</v>
      </c>
      <c r="D387" s="21">
        <v>9376094659</v>
      </c>
      <c r="E387" s="21" t="s">
        <v>57</v>
      </c>
      <c r="F387" s="21" t="s">
        <v>50</v>
      </c>
      <c r="G387" s="43" t="s">
        <v>179</v>
      </c>
      <c r="H387" s="43" t="s">
        <v>60</v>
      </c>
      <c r="I387" s="43">
        <v>5</v>
      </c>
      <c r="J387" s="43">
        <v>477</v>
      </c>
      <c r="K387" s="43">
        <v>0</v>
      </c>
      <c r="L387" s="44">
        <v>45583</v>
      </c>
      <c r="M387" s="43" t="s">
        <v>24</v>
      </c>
      <c r="N387" s="43" t="s">
        <v>25</v>
      </c>
      <c r="O387" s="43" t="s">
        <v>34</v>
      </c>
      <c r="P387" s="43">
        <v>5</v>
      </c>
      <c r="Q387" s="45">
        <v>2385</v>
      </c>
      <c r="R387" s="45">
        <v>0</v>
      </c>
      <c r="S387" s="45">
        <v>2385</v>
      </c>
    </row>
    <row r="388" spans="1:19" x14ac:dyDescent="0.3">
      <c r="A388" s="21">
        <v>10387</v>
      </c>
      <c r="B388" s="21" t="s">
        <v>244</v>
      </c>
      <c r="C388" s="21" t="s">
        <v>245</v>
      </c>
      <c r="D388" s="21">
        <v>9838763820</v>
      </c>
      <c r="E388" s="21" t="s">
        <v>74</v>
      </c>
      <c r="F388" s="21" t="s">
        <v>75</v>
      </c>
      <c r="G388" s="43" t="s">
        <v>151</v>
      </c>
      <c r="H388" s="43" t="s">
        <v>143</v>
      </c>
      <c r="I388" s="43">
        <v>4</v>
      </c>
      <c r="J388" s="43">
        <v>748</v>
      </c>
      <c r="K388" s="43">
        <v>0</v>
      </c>
      <c r="L388" s="44">
        <v>45315</v>
      </c>
      <c r="M388" s="43" t="s">
        <v>1646</v>
      </c>
      <c r="N388" s="43" t="s">
        <v>25</v>
      </c>
      <c r="O388" s="43" t="s">
        <v>71</v>
      </c>
      <c r="P388" s="43">
        <v>1</v>
      </c>
      <c r="Q388" s="45">
        <v>2992</v>
      </c>
      <c r="R388" s="45">
        <v>0</v>
      </c>
      <c r="S388" s="45">
        <v>2992</v>
      </c>
    </row>
    <row r="389" spans="1:19" x14ac:dyDescent="0.3">
      <c r="A389" s="21">
        <v>10388</v>
      </c>
      <c r="B389" s="21" t="s">
        <v>1747</v>
      </c>
      <c r="C389" s="21" t="s">
        <v>1748</v>
      </c>
      <c r="D389" s="21">
        <v>9743278416</v>
      </c>
      <c r="E389" s="21" t="s">
        <v>197</v>
      </c>
      <c r="F389" s="21" t="s">
        <v>191</v>
      </c>
      <c r="G389" s="43" t="s">
        <v>179</v>
      </c>
      <c r="H389" s="43" t="s">
        <v>60</v>
      </c>
      <c r="I389" s="43">
        <v>1</v>
      </c>
      <c r="J389" s="43">
        <v>404</v>
      </c>
      <c r="K389" s="43">
        <v>15</v>
      </c>
      <c r="L389" s="44">
        <v>45575</v>
      </c>
      <c r="M389" s="43" t="s">
        <v>1649</v>
      </c>
      <c r="N389" s="43" t="s">
        <v>25</v>
      </c>
      <c r="O389" s="43" t="s">
        <v>174</v>
      </c>
      <c r="P389" s="43">
        <v>1</v>
      </c>
      <c r="Q389" s="45">
        <v>404</v>
      </c>
      <c r="R389" s="45">
        <v>60.6</v>
      </c>
      <c r="S389" s="45">
        <v>343.4</v>
      </c>
    </row>
    <row r="390" spans="1:19" x14ac:dyDescent="0.3">
      <c r="A390" s="21">
        <v>10389</v>
      </c>
      <c r="B390" s="21" t="s">
        <v>187</v>
      </c>
      <c r="C390" s="21" t="s">
        <v>1663</v>
      </c>
      <c r="D390" s="21">
        <v>9138192419</v>
      </c>
      <c r="E390" s="21" t="s">
        <v>197</v>
      </c>
      <c r="F390" s="21" t="s">
        <v>191</v>
      </c>
      <c r="G390" s="43" t="s">
        <v>155</v>
      </c>
      <c r="H390" s="43" t="s">
        <v>92</v>
      </c>
      <c r="I390" s="43">
        <v>1</v>
      </c>
      <c r="J390" s="43">
        <v>1010</v>
      </c>
      <c r="K390" s="43">
        <v>10</v>
      </c>
      <c r="L390" s="44">
        <v>45526</v>
      </c>
      <c r="M390" s="43" t="s">
        <v>24</v>
      </c>
      <c r="N390" s="43" t="s">
        <v>119</v>
      </c>
      <c r="O390" s="43" t="s">
        <v>53</v>
      </c>
      <c r="P390" s="43">
        <v>2</v>
      </c>
      <c r="Q390" s="45">
        <v>1010</v>
      </c>
      <c r="R390" s="45">
        <v>101</v>
      </c>
      <c r="S390" s="45">
        <v>909</v>
      </c>
    </row>
    <row r="391" spans="1:19" x14ac:dyDescent="0.3">
      <c r="A391" s="21">
        <v>10390</v>
      </c>
      <c r="B391" s="21" t="s">
        <v>1072</v>
      </c>
      <c r="C391" s="21" t="s">
        <v>1712</v>
      </c>
      <c r="D391" s="21">
        <v>9601644923</v>
      </c>
      <c r="E391" s="21" t="s">
        <v>38</v>
      </c>
      <c r="F391" s="21" t="s">
        <v>429</v>
      </c>
      <c r="G391" s="43" t="s">
        <v>226</v>
      </c>
      <c r="H391" s="43" t="s">
        <v>22</v>
      </c>
      <c r="I391" s="43">
        <v>1</v>
      </c>
      <c r="J391" s="43">
        <v>1084</v>
      </c>
      <c r="K391" s="43">
        <v>0</v>
      </c>
      <c r="L391" s="44">
        <v>45368</v>
      </c>
      <c r="M391" s="43" t="s">
        <v>43</v>
      </c>
      <c r="N391" s="43" t="s">
        <v>25</v>
      </c>
      <c r="O391" s="43" t="s">
        <v>45</v>
      </c>
      <c r="P391" s="43">
        <v>1</v>
      </c>
      <c r="Q391" s="45">
        <v>1084</v>
      </c>
      <c r="R391" s="45">
        <v>0</v>
      </c>
      <c r="S391" s="45">
        <v>1084</v>
      </c>
    </row>
    <row r="392" spans="1:19" x14ac:dyDescent="0.3">
      <c r="A392" s="21">
        <v>10391</v>
      </c>
      <c r="B392" s="21" t="s">
        <v>574</v>
      </c>
      <c r="C392" s="21" t="s">
        <v>1708</v>
      </c>
      <c r="D392" s="21">
        <v>9555707632</v>
      </c>
      <c r="E392" s="21" t="s">
        <v>219</v>
      </c>
      <c r="F392" s="21" t="s">
        <v>150</v>
      </c>
      <c r="G392" s="43" t="s">
        <v>368</v>
      </c>
      <c r="H392" s="43" t="s">
        <v>22</v>
      </c>
      <c r="I392" s="43">
        <v>5</v>
      </c>
      <c r="J392" s="43">
        <v>956</v>
      </c>
      <c r="K392" s="43">
        <v>0</v>
      </c>
      <c r="L392" s="44">
        <v>45510</v>
      </c>
      <c r="M392" s="43" t="s">
        <v>43</v>
      </c>
      <c r="N392" s="43" t="s">
        <v>25</v>
      </c>
      <c r="O392" s="43" t="s">
        <v>45</v>
      </c>
      <c r="P392" s="43">
        <v>3</v>
      </c>
      <c r="Q392" s="45">
        <v>4780</v>
      </c>
      <c r="R392" s="45">
        <v>0</v>
      </c>
      <c r="S392" s="45">
        <v>4780</v>
      </c>
    </row>
    <row r="393" spans="1:19" x14ac:dyDescent="0.3">
      <c r="A393" s="21">
        <v>10392</v>
      </c>
      <c r="B393" s="21" t="s">
        <v>1121</v>
      </c>
      <c r="C393" s="21" t="s">
        <v>1122</v>
      </c>
      <c r="D393" s="21">
        <v>9553575931</v>
      </c>
      <c r="E393" s="21" t="s">
        <v>371</v>
      </c>
      <c r="F393" s="21" t="s">
        <v>98</v>
      </c>
      <c r="G393" s="43" t="s">
        <v>411</v>
      </c>
      <c r="H393" s="43" t="s">
        <v>83</v>
      </c>
      <c r="I393" s="43">
        <v>1</v>
      </c>
      <c r="J393" s="43">
        <v>62141</v>
      </c>
      <c r="K393" s="43">
        <v>15</v>
      </c>
      <c r="L393" s="44">
        <v>45439</v>
      </c>
      <c r="M393" s="43" t="s">
        <v>69</v>
      </c>
      <c r="N393" s="43" t="s">
        <v>25</v>
      </c>
      <c r="O393" s="43" t="s">
        <v>1641</v>
      </c>
      <c r="P393" s="43">
        <v>4</v>
      </c>
      <c r="Q393" s="45">
        <v>62141</v>
      </c>
      <c r="R393" s="45">
        <v>9321.15</v>
      </c>
      <c r="S393" s="45">
        <v>52819.85</v>
      </c>
    </row>
    <row r="394" spans="1:19" x14ac:dyDescent="0.3">
      <c r="A394" s="23">
        <v>10393</v>
      </c>
      <c r="B394" s="22" t="s">
        <v>1093</v>
      </c>
      <c r="C394" s="22" t="s">
        <v>1734</v>
      </c>
      <c r="D394" s="22">
        <v>9898291422</v>
      </c>
      <c r="E394" s="22" t="s">
        <v>172</v>
      </c>
      <c r="F394" s="22" t="s">
        <v>150</v>
      </c>
      <c r="G394" s="43" t="s">
        <v>204</v>
      </c>
      <c r="H394" s="43" t="s">
        <v>143</v>
      </c>
      <c r="I394" s="43">
        <v>5</v>
      </c>
      <c r="J394" s="43">
        <v>155</v>
      </c>
      <c r="K394" s="43">
        <v>20</v>
      </c>
      <c r="L394" s="44">
        <v>45586</v>
      </c>
      <c r="M394" s="43" t="s">
        <v>1646</v>
      </c>
      <c r="N394" s="43" t="s">
        <v>25</v>
      </c>
      <c r="O394" s="43" t="s">
        <v>53</v>
      </c>
      <c r="P394" s="43">
        <v>1</v>
      </c>
      <c r="Q394" s="45">
        <v>775</v>
      </c>
      <c r="R394" s="45">
        <v>155</v>
      </c>
      <c r="S394" s="45">
        <v>620</v>
      </c>
    </row>
    <row r="395" spans="1:19" x14ac:dyDescent="0.3">
      <c r="A395" s="23">
        <v>10394</v>
      </c>
      <c r="B395" s="23" t="s">
        <v>255</v>
      </c>
      <c r="C395" s="23" t="s">
        <v>1674</v>
      </c>
      <c r="D395" s="23">
        <v>9985118217</v>
      </c>
      <c r="E395" s="23" t="s">
        <v>74</v>
      </c>
      <c r="F395" s="23" t="s">
        <v>75</v>
      </c>
      <c r="G395" s="43" t="s">
        <v>106</v>
      </c>
      <c r="H395" s="43" t="s">
        <v>83</v>
      </c>
      <c r="I395" s="43">
        <v>4</v>
      </c>
      <c r="J395" s="43">
        <v>10086</v>
      </c>
      <c r="K395" s="43">
        <v>15</v>
      </c>
      <c r="L395" s="44">
        <v>45399</v>
      </c>
      <c r="M395" s="43" t="s">
        <v>1649</v>
      </c>
      <c r="N395" s="43" t="s">
        <v>25</v>
      </c>
      <c r="O395" s="43" t="s">
        <v>34</v>
      </c>
      <c r="P395" s="43">
        <v>4</v>
      </c>
      <c r="Q395" s="45">
        <v>40344</v>
      </c>
      <c r="R395" s="45">
        <v>6051.6</v>
      </c>
      <c r="S395" s="45">
        <v>34292.400000000001</v>
      </c>
    </row>
    <row r="396" spans="1:19" x14ac:dyDescent="0.3">
      <c r="A396" s="21">
        <v>10395</v>
      </c>
      <c r="B396" s="21" t="s">
        <v>499</v>
      </c>
      <c r="C396" s="21" t="s">
        <v>1652</v>
      </c>
      <c r="D396" s="21" t="s">
        <v>1812</v>
      </c>
      <c r="E396" s="21" t="s">
        <v>279</v>
      </c>
      <c r="F396" s="21" t="s">
        <v>259</v>
      </c>
      <c r="G396" s="43" t="s">
        <v>151</v>
      </c>
      <c r="H396" s="43" t="s">
        <v>143</v>
      </c>
      <c r="I396" s="43">
        <v>3</v>
      </c>
      <c r="J396" s="43">
        <v>863</v>
      </c>
      <c r="K396" s="43">
        <v>0</v>
      </c>
      <c r="L396" s="44">
        <v>45572</v>
      </c>
      <c r="M396" s="43" t="s">
        <v>1646</v>
      </c>
      <c r="N396" s="43" t="s">
        <v>25</v>
      </c>
      <c r="O396" s="43" t="s">
        <v>71</v>
      </c>
      <c r="P396" s="43" t="s">
        <v>1813</v>
      </c>
      <c r="Q396" s="45">
        <v>2589</v>
      </c>
      <c r="R396" s="45">
        <v>0</v>
      </c>
      <c r="S396" s="45">
        <v>2589</v>
      </c>
    </row>
    <row r="397" spans="1:19" x14ac:dyDescent="0.3">
      <c r="A397" s="21">
        <v>10396</v>
      </c>
      <c r="B397" s="21" t="s">
        <v>233</v>
      </c>
      <c r="C397" s="21" t="s">
        <v>760</v>
      </c>
      <c r="D397" s="21">
        <v>9617251765</v>
      </c>
      <c r="E397" s="21" t="s">
        <v>219</v>
      </c>
      <c r="F397" s="21" t="s">
        <v>150</v>
      </c>
      <c r="G397" s="43" t="s">
        <v>179</v>
      </c>
      <c r="H397" s="43" t="s">
        <v>60</v>
      </c>
      <c r="I397" s="43">
        <v>4</v>
      </c>
      <c r="J397" s="43">
        <v>304</v>
      </c>
      <c r="K397" s="43">
        <v>20</v>
      </c>
      <c r="L397" s="44">
        <v>45487</v>
      </c>
      <c r="M397" s="43" t="s">
        <v>69</v>
      </c>
      <c r="N397" s="43" t="s">
        <v>456</v>
      </c>
      <c r="O397" s="43" t="s">
        <v>53</v>
      </c>
      <c r="P397" s="43">
        <v>5</v>
      </c>
      <c r="Q397" s="45">
        <v>1216</v>
      </c>
      <c r="R397" s="45">
        <v>243.2</v>
      </c>
      <c r="S397" s="45">
        <v>972.8</v>
      </c>
    </row>
    <row r="398" spans="1:19" x14ac:dyDescent="0.3">
      <c r="A398" s="21">
        <v>10397</v>
      </c>
      <c r="B398" s="21" t="s">
        <v>749</v>
      </c>
      <c r="C398" s="21" t="s">
        <v>1749</v>
      </c>
      <c r="D398" s="21">
        <v>9869029691</v>
      </c>
      <c r="E398" s="21" t="s">
        <v>219</v>
      </c>
      <c r="F398" s="21" t="s">
        <v>150</v>
      </c>
      <c r="G398" s="43" t="s">
        <v>204</v>
      </c>
      <c r="H398" s="43" t="s">
        <v>143</v>
      </c>
      <c r="I398" s="43">
        <v>1</v>
      </c>
      <c r="J398" s="43">
        <v>368</v>
      </c>
      <c r="K398" s="43">
        <v>20</v>
      </c>
      <c r="L398" s="44">
        <v>45532</v>
      </c>
      <c r="M398" s="43" t="s">
        <v>69</v>
      </c>
      <c r="N398" s="43" t="s">
        <v>25</v>
      </c>
      <c r="O398" s="43" t="s">
        <v>45</v>
      </c>
      <c r="P398" s="43">
        <v>4</v>
      </c>
      <c r="Q398" s="45">
        <v>368</v>
      </c>
      <c r="R398" s="45">
        <v>73.599999999999994</v>
      </c>
      <c r="S398" s="45">
        <v>294.39999999999998</v>
      </c>
    </row>
    <row r="399" spans="1:19" x14ac:dyDescent="0.3">
      <c r="A399" s="21">
        <v>10398</v>
      </c>
      <c r="B399" s="21" t="s">
        <v>1680</v>
      </c>
      <c r="C399" s="21" t="s">
        <v>1681</v>
      </c>
      <c r="D399" s="21">
        <v>9536820025</v>
      </c>
      <c r="E399" s="21" t="s">
        <v>111</v>
      </c>
      <c r="F399" s="21" t="s">
        <v>111</v>
      </c>
      <c r="G399" s="43" t="s">
        <v>198</v>
      </c>
      <c r="H399" s="43" t="s">
        <v>41</v>
      </c>
      <c r="I399" s="43">
        <v>3</v>
      </c>
      <c r="J399" s="43">
        <v>274</v>
      </c>
      <c r="K399" s="43">
        <v>0</v>
      </c>
      <c r="L399" s="44">
        <v>45529</v>
      </c>
      <c r="M399" s="43" t="s">
        <v>1646</v>
      </c>
      <c r="N399" s="43" t="s">
        <v>25</v>
      </c>
      <c r="O399" s="43" t="s">
        <v>53</v>
      </c>
      <c r="P399" s="43">
        <v>2</v>
      </c>
      <c r="Q399" s="45">
        <v>822</v>
      </c>
      <c r="R399" s="45">
        <v>0</v>
      </c>
      <c r="S399" s="45">
        <v>822</v>
      </c>
    </row>
    <row r="400" spans="1:19" x14ac:dyDescent="0.3">
      <c r="A400" s="21">
        <v>10399</v>
      </c>
      <c r="B400" s="21" t="s">
        <v>379</v>
      </c>
      <c r="C400" s="21" t="s">
        <v>1690</v>
      </c>
      <c r="D400" s="21" t="s">
        <v>1812</v>
      </c>
      <c r="E400" s="21" t="s">
        <v>343</v>
      </c>
      <c r="F400" s="21" t="s">
        <v>50</v>
      </c>
      <c r="G400" s="43" t="s">
        <v>161</v>
      </c>
      <c r="H400" s="43" t="s">
        <v>83</v>
      </c>
      <c r="I400" s="43">
        <v>1</v>
      </c>
      <c r="J400" s="43">
        <v>22714</v>
      </c>
      <c r="K400" s="43">
        <v>20</v>
      </c>
      <c r="L400" s="44">
        <v>45357</v>
      </c>
      <c r="M400" s="43" t="s">
        <v>1646</v>
      </c>
      <c r="N400" s="43" t="s">
        <v>25</v>
      </c>
      <c r="O400" s="43" t="s">
        <v>53</v>
      </c>
      <c r="P400" s="43" t="s">
        <v>1813</v>
      </c>
      <c r="Q400" s="45">
        <v>22714</v>
      </c>
      <c r="R400" s="45">
        <v>4542.8</v>
      </c>
      <c r="S400" s="45">
        <v>18171.2</v>
      </c>
    </row>
    <row r="401" spans="1:19" x14ac:dyDescent="0.3">
      <c r="A401" s="21">
        <v>10400</v>
      </c>
      <c r="B401" s="21" t="s">
        <v>870</v>
      </c>
      <c r="C401" s="21" t="s">
        <v>1761</v>
      </c>
      <c r="D401" s="21">
        <v>9935564827</v>
      </c>
      <c r="E401" s="21" t="s">
        <v>273</v>
      </c>
      <c r="F401" s="21" t="s">
        <v>50</v>
      </c>
      <c r="G401" s="43" t="s">
        <v>112</v>
      </c>
      <c r="H401" s="43" t="s">
        <v>83</v>
      </c>
      <c r="I401" s="43">
        <v>3</v>
      </c>
      <c r="J401" s="43">
        <v>34426</v>
      </c>
      <c r="K401" s="43">
        <v>15</v>
      </c>
      <c r="L401" s="44">
        <v>45465</v>
      </c>
      <c r="M401" s="43" t="s">
        <v>69</v>
      </c>
      <c r="N401" s="43" t="s">
        <v>25</v>
      </c>
      <c r="O401" s="43" t="s">
        <v>53</v>
      </c>
      <c r="P401" s="43">
        <v>4</v>
      </c>
      <c r="Q401" s="45">
        <v>103278</v>
      </c>
      <c r="R401" s="45">
        <v>15491.7</v>
      </c>
      <c r="S401" s="45">
        <v>87786.3</v>
      </c>
    </row>
    <row r="402" spans="1:19" x14ac:dyDescent="0.3">
      <c r="A402" s="21">
        <v>10401</v>
      </c>
      <c r="B402" s="21" t="s">
        <v>878</v>
      </c>
      <c r="C402" s="21" t="s">
        <v>1762</v>
      </c>
      <c r="D402" s="21">
        <v>9233692420</v>
      </c>
      <c r="E402" s="21" t="s">
        <v>197</v>
      </c>
      <c r="F402" s="21" t="s">
        <v>191</v>
      </c>
      <c r="G402" s="43" t="s">
        <v>179</v>
      </c>
      <c r="H402" s="43" t="s">
        <v>60</v>
      </c>
      <c r="I402" s="43">
        <v>1</v>
      </c>
      <c r="J402" s="43">
        <v>434</v>
      </c>
      <c r="K402" s="43">
        <v>0</v>
      </c>
      <c r="L402" s="44">
        <v>45460</v>
      </c>
      <c r="M402" s="43" t="s">
        <v>24</v>
      </c>
      <c r="N402" s="43" t="s">
        <v>25</v>
      </c>
      <c r="O402" s="43" t="s">
        <v>71</v>
      </c>
      <c r="P402" s="43">
        <v>3</v>
      </c>
      <c r="Q402" s="45">
        <v>434</v>
      </c>
      <c r="R402" s="45">
        <v>0</v>
      </c>
      <c r="S402" s="45">
        <v>434</v>
      </c>
    </row>
    <row r="403" spans="1:19" x14ac:dyDescent="0.3">
      <c r="A403" s="21">
        <v>10402</v>
      </c>
      <c r="B403" s="21" t="s">
        <v>1011</v>
      </c>
      <c r="C403" s="21" t="s">
        <v>1745</v>
      </c>
      <c r="D403" s="21">
        <v>9998463507</v>
      </c>
      <c r="E403" s="21" t="s">
        <v>197</v>
      </c>
      <c r="F403" s="21" t="s">
        <v>191</v>
      </c>
      <c r="G403" s="43" t="s">
        <v>151</v>
      </c>
      <c r="H403" s="43" t="s">
        <v>143</v>
      </c>
      <c r="I403" s="43">
        <v>5</v>
      </c>
      <c r="J403" s="43">
        <v>781</v>
      </c>
      <c r="K403" s="43">
        <v>0</v>
      </c>
      <c r="L403" s="44">
        <v>45338</v>
      </c>
      <c r="M403" s="43" t="s">
        <v>1649</v>
      </c>
      <c r="N403" s="43" t="s">
        <v>25</v>
      </c>
      <c r="O403" s="43" t="s">
        <v>53</v>
      </c>
      <c r="P403" s="43">
        <v>5</v>
      </c>
      <c r="Q403" s="45">
        <v>3905</v>
      </c>
      <c r="R403" s="45">
        <v>0</v>
      </c>
      <c r="S403" s="45">
        <v>3905</v>
      </c>
    </row>
    <row r="404" spans="1:19" x14ac:dyDescent="0.3">
      <c r="A404" s="21">
        <v>10403</v>
      </c>
      <c r="B404" s="21" t="s">
        <v>1694</v>
      </c>
      <c r="C404" s="21" t="s">
        <v>1793</v>
      </c>
      <c r="D404" s="21">
        <v>9113806403</v>
      </c>
      <c r="E404" s="21" t="s">
        <v>38</v>
      </c>
      <c r="F404" s="21" t="s">
        <v>429</v>
      </c>
      <c r="G404" s="43" t="s">
        <v>226</v>
      </c>
      <c r="H404" s="43" t="s">
        <v>22</v>
      </c>
      <c r="I404" s="43">
        <v>3</v>
      </c>
      <c r="J404" s="43">
        <v>1320</v>
      </c>
      <c r="K404" s="43">
        <v>0</v>
      </c>
      <c r="L404" s="44">
        <v>45392</v>
      </c>
      <c r="M404" s="43" t="s">
        <v>1649</v>
      </c>
      <c r="N404" s="43" t="s">
        <v>456</v>
      </c>
      <c r="O404" s="43" t="s">
        <v>71</v>
      </c>
      <c r="P404" s="43">
        <v>2</v>
      </c>
      <c r="Q404" s="45">
        <v>3960</v>
      </c>
      <c r="R404" s="45">
        <v>0</v>
      </c>
      <c r="S404" s="45">
        <v>3960</v>
      </c>
    </row>
    <row r="405" spans="1:19" x14ac:dyDescent="0.3">
      <c r="A405" s="21">
        <v>10404</v>
      </c>
      <c r="B405" s="21" t="s">
        <v>1121</v>
      </c>
      <c r="C405" s="21" t="s">
        <v>1781</v>
      </c>
      <c r="D405" s="21">
        <v>9381651945</v>
      </c>
      <c r="E405" s="21" t="s">
        <v>371</v>
      </c>
      <c r="F405" s="21" t="s">
        <v>98</v>
      </c>
      <c r="G405" s="43" t="s">
        <v>112</v>
      </c>
      <c r="H405" s="43" t="s">
        <v>83</v>
      </c>
      <c r="I405" s="43">
        <v>3</v>
      </c>
      <c r="J405" s="43">
        <v>16964</v>
      </c>
      <c r="K405" s="43">
        <v>5</v>
      </c>
      <c r="L405" s="44">
        <v>45321</v>
      </c>
      <c r="M405" s="43" t="s">
        <v>1649</v>
      </c>
      <c r="N405" s="43" t="s">
        <v>25</v>
      </c>
      <c r="O405" s="43" t="s">
        <v>45</v>
      </c>
      <c r="P405" s="43">
        <v>4</v>
      </c>
      <c r="Q405" s="45">
        <v>50892</v>
      </c>
      <c r="R405" s="45">
        <v>2544.6</v>
      </c>
      <c r="S405" s="45">
        <v>48347.4</v>
      </c>
    </row>
    <row r="406" spans="1:19" x14ac:dyDescent="0.3">
      <c r="A406" s="21">
        <v>10405</v>
      </c>
      <c r="B406" s="21" t="s">
        <v>35</v>
      </c>
      <c r="C406" s="21" t="s">
        <v>1795</v>
      </c>
      <c r="D406" s="21" t="s">
        <v>1812</v>
      </c>
      <c r="E406" s="21" t="s">
        <v>197</v>
      </c>
      <c r="F406" s="21" t="s">
        <v>191</v>
      </c>
      <c r="G406" s="43" t="s">
        <v>231</v>
      </c>
      <c r="H406" s="43" t="s">
        <v>83</v>
      </c>
      <c r="I406" s="43">
        <v>3</v>
      </c>
      <c r="J406" s="43">
        <v>2792</v>
      </c>
      <c r="K406" s="43">
        <v>0</v>
      </c>
      <c r="L406" s="44">
        <v>45314</v>
      </c>
      <c r="M406" s="43" t="s">
        <v>1646</v>
      </c>
      <c r="N406" s="43" t="s">
        <v>25</v>
      </c>
      <c r="O406" s="43" t="s">
        <v>174</v>
      </c>
      <c r="P406" s="43">
        <v>4</v>
      </c>
      <c r="Q406" s="45">
        <v>8376</v>
      </c>
      <c r="R406" s="45">
        <v>0</v>
      </c>
      <c r="S406" s="45">
        <v>8376</v>
      </c>
    </row>
    <row r="407" spans="1:19" x14ac:dyDescent="0.3">
      <c r="A407" s="21">
        <v>10406</v>
      </c>
      <c r="B407" s="21" t="s">
        <v>561</v>
      </c>
      <c r="C407" s="21" t="s">
        <v>1030</v>
      </c>
      <c r="D407" s="21">
        <v>9691895160</v>
      </c>
      <c r="E407" s="21" t="s">
        <v>391</v>
      </c>
      <c r="F407" s="21" t="s">
        <v>90</v>
      </c>
      <c r="G407" s="43" t="s">
        <v>411</v>
      </c>
      <c r="H407" s="43" t="s">
        <v>83</v>
      </c>
      <c r="I407" s="43">
        <v>3</v>
      </c>
      <c r="J407" s="43">
        <v>50372</v>
      </c>
      <c r="K407" s="43">
        <v>0</v>
      </c>
      <c r="L407" s="44">
        <v>45323</v>
      </c>
      <c r="M407" s="43" t="s">
        <v>1646</v>
      </c>
      <c r="N407" s="43" t="s">
        <v>25</v>
      </c>
      <c r="O407" s="43" t="s">
        <v>71</v>
      </c>
      <c r="P407" s="43">
        <v>4</v>
      </c>
      <c r="Q407" s="45">
        <v>151116</v>
      </c>
      <c r="R407" s="45">
        <v>0</v>
      </c>
      <c r="S407" s="45">
        <v>151116</v>
      </c>
    </row>
    <row r="408" spans="1:19" x14ac:dyDescent="0.3">
      <c r="A408" s="21">
        <v>10407</v>
      </c>
      <c r="B408" s="21" t="s">
        <v>598</v>
      </c>
      <c r="C408" s="21" t="s">
        <v>599</v>
      </c>
      <c r="D408" s="21">
        <v>9182326750</v>
      </c>
      <c r="E408" s="21" t="s">
        <v>371</v>
      </c>
      <c r="F408" s="21" t="s">
        <v>98</v>
      </c>
      <c r="G408" s="43" t="s">
        <v>226</v>
      </c>
      <c r="H408" s="43" t="s">
        <v>22</v>
      </c>
      <c r="I408" s="43">
        <v>2</v>
      </c>
      <c r="J408" s="43">
        <v>977</v>
      </c>
      <c r="K408" s="43">
        <v>20</v>
      </c>
      <c r="L408" s="44">
        <v>45569</v>
      </c>
      <c r="M408" s="43" t="s">
        <v>69</v>
      </c>
      <c r="N408" s="43" t="s">
        <v>25</v>
      </c>
      <c r="O408" s="43" t="s">
        <v>71</v>
      </c>
      <c r="P408" s="43">
        <v>2</v>
      </c>
      <c r="Q408" s="45">
        <v>1954</v>
      </c>
      <c r="R408" s="45">
        <v>390.8</v>
      </c>
      <c r="S408" s="45">
        <v>1563.2</v>
      </c>
    </row>
    <row r="409" spans="1:19" x14ac:dyDescent="0.3">
      <c r="A409" s="21">
        <v>10408</v>
      </c>
      <c r="B409" s="21" t="s">
        <v>244</v>
      </c>
      <c r="C409" s="21" t="s">
        <v>1672</v>
      </c>
      <c r="D409" s="21">
        <v>9971542034</v>
      </c>
      <c r="E409" s="21" t="s">
        <v>219</v>
      </c>
      <c r="F409" s="21" t="s">
        <v>150</v>
      </c>
      <c r="G409" s="43" t="s">
        <v>226</v>
      </c>
      <c r="H409" s="43" t="s">
        <v>22</v>
      </c>
      <c r="I409" s="43">
        <v>5</v>
      </c>
      <c r="J409" s="43">
        <v>1562</v>
      </c>
      <c r="K409" s="43">
        <v>0</v>
      </c>
      <c r="L409" s="44">
        <v>45401</v>
      </c>
      <c r="M409" s="43" t="s">
        <v>1646</v>
      </c>
      <c r="N409" s="43" t="s">
        <v>25</v>
      </c>
      <c r="O409" s="43" t="s">
        <v>45</v>
      </c>
      <c r="P409" s="43">
        <v>1</v>
      </c>
      <c r="Q409" s="45">
        <v>7810</v>
      </c>
      <c r="R409" s="45">
        <v>0</v>
      </c>
      <c r="S409" s="45">
        <v>7810</v>
      </c>
    </row>
    <row r="410" spans="1:19" x14ac:dyDescent="0.3">
      <c r="A410" s="21">
        <v>10409</v>
      </c>
      <c r="B410" s="21" t="s">
        <v>1668</v>
      </c>
      <c r="C410" s="21" t="s">
        <v>1669</v>
      </c>
      <c r="D410" s="21">
        <v>9634876828</v>
      </c>
      <c r="E410" s="21" t="s">
        <v>197</v>
      </c>
      <c r="F410" s="21" t="s">
        <v>191</v>
      </c>
      <c r="G410" s="43" t="s">
        <v>151</v>
      </c>
      <c r="H410" s="43" t="s">
        <v>143</v>
      </c>
      <c r="I410" s="43">
        <v>3</v>
      </c>
      <c r="J410" s="43">
        <v>497</v>
      </c>
      <c r="K410" s="43">
        <v>20</v>
      </c>
      <c r="L410" s="44">
        <v>45599</v>
      </c>
      <c r="M410" s="43" t="s">
        <v>69</v>
      </c>
      <c r="N410" s="43" t="s">
        <v>119</v>
      </c>
      <c r="O410" s="43" t="s">
        <v>53</v>
      </c>
      <c r="P410" s="43">
        <v>5</v>
      </c>
      <c r="Q410" s="45">
        <v>1491</v>
      </c>
      <c r="R410" s="45">
        <v>298.2</v>
      </c>
      <c r="S410" s="45">
        <v>1192.8</v>
      </c>
    </row>
    <row r="411" spans="1:19" x14ac:dyDescent="0.3">
      <c r="A411" s="21">
        <v>10410</v>
      </c>
      <c r="B411" s="21" t="s">
        <v>1014</v>
      </c>
      <c r="C411" s="21" t="s">
        <v>1713</v>
      </c>
      <c r="D411" s="21">
        <v>9295651648</v>
      </c>
      <c r="E411" s="21" t="s">
        <v>279</v>
      </c>
      <c r="F411" s="21" t="s">
        <v>259</v>
      </c>
      <c r="G411" s="43" t="s">
        <v>161</v>
      </c>
      <c r="H411" s="43" t="s">
        <v>83</v>
      </c>
      <c r="I411" s="43">
        <v>5</v>
      </c>
      <c r="J411" s="43">
        <v>18558</v>
      </c>
      <c r="K411" s="43">
        <v>15</v>
      </c>
      <c r="L411" s="44">
        <v>45330</v>
      </c>
      <c r="M411" s="43" t="s">
        <v>24</v>
      </c>
      <c r="N411" s="43" t="s">
        <v>25</v>
      </c>
      <c r="O411" s="43" t="s">
        <v>53</v>
      </c>
      <c r="P411" s="43" t="s">
        <v>1813</v>
      </c>
      <c r="Q411" s="45">
        <v>92790</v>
      </c>
      <c r="R411" s="45">
        <v>13918.5</v>
      </c>
      <c r="S411" s="45">
        <v>78871.5</v>
      </c>
    </row>
    <row r="412" spans="1:19" x14ac:dyDescent="0.3">
      <c r="A412" s="21">
        <v>10411</v>
      </c>
      <c r="B412" s="21" t="s">
        <v>1788</v>
      </c>
      <c r="C412" s="21" t="s">
        <v>1645</v>
      </c>
      <c r="D412" s="21">
        <v>9122871316</v>
      </c>
      <c r="E412" s="21" t="s">
        <v>57</v>
      </c>
      <c r="F412" s="21" t="s">
        <v>50</v>
      </c>
      <c r="G412" s="43" t="s">
        <v>231</v>
      </c>
      <c r="H412" s="43" t="s">
        <v>83</v>
      </c>
      <c r="I412" s="43">
        <v>2</v>
      </c>
      <c r="J412" s="43">
        <v>4997</v>
      </c>
      <c r="K412" s="43">
        <v>0</v>
      </c>
      <c r="L412" s="44">
        <v>45520</v>
      </c>
      <c r="M412" s="43" t="s">
        <v>43</v>
      </c>
      <c r="N412" s="43" t="s">
        <v>25</v>
      </c>
      <c r="O412" s="43" t="s">
        <v>53</v>
      </c>
      <c r="P412" s="43" t="s">
        <v>1813</v>
      </c>
      <c r="Q412" s="45">
        <v>9994</v>
      </c>
      <c r="R412" s="45">
        <v>0</v>
      </c>
      <c r="S412" s="45">
        <v>9994</v>
      </c>
    </row>
    <row r="413" spans="1:19" x14ac:dyDescent="0.3">
      <c r="A413" s="21">
        <v>10412</v>
      </c>
      <c r="B413" s="21" t="s">
        <v>661</v>
      </c>
      <c r="C413" s="21" t="s">
        <v>1735</v>
      </c>
      <c r="D413" s="21">
        <v>9904242640</v>
      </c>
      <c r="E413" s="21" t="s">
        <v>57</v>
      </c>
      <c r="F413" s="21" t="s">
        <v>50</v>
      </c>
      <c r="G413" s="43" t="s">
        <v>161</v>
      </c>
      <c r="H413" s="43" t="s">
        <v>83</v>
      </c>
      <c r="I413" s="43">
        <v>3</v>
      </c>
      <c r="J413" s="43">
        <v>16988</v>
      </c>
      <c r="K413" s="43">
        <v>0</v>
      </c>
      <c r="L413" s="44">
        <v>45363</v>
      </c>
      <c r="M413" s="43" t="s">
        <v>69</v>
      </c>
      <c r="N413" s="43" t="s">
        <v>25</v>
      </c>
      <c r="O413" s="43" t="s">
        <v>34</v>
      </c>
      <c r="P413" s="43">
        <v>1</v>
      </c>
      <c r="Q413" s="45">
        <v>50964</v>
      </c>
      <c r="R413" s="45">
        <v>0</v>
      </c>
      <c r="S413" s="45">
        <v>50964</v>
      </c>
    </row>
    <row r="414" spans="1:19" x14ac:dyDescent="0.3">
      <c r="A414" s="21">
        <v>10413</v>
      </c>
      <c r="B414" s="21" t="s">
        <v>541</v>
      </c>
      <c r="C414" s="21" t="s">
        <v>1644</v>
      </c>
      <c r="D414" s="21">
        <v>9349638777</v>
      </c>
      <c r="E414" s="21" t="s">
        <v>111</v>
      </c>
      <c r="F414" s="21" t="s">
        <v>111</v>
      </c>
      <c r="G414" s="43" t="s">
        <v>161</v>
      </c>
      <c r="H414" s="43" t="s">
        <v>83</v>
      </c>
      <c r="I414" s="43">
        <v>5</v>
      </c>
      <c r="J414" s="43">
        <v>22950</v>
      </c>
      <c r="K414" s="43">
        <v>5</v>
      </c>
      <c r="L414" s="44">
        <v>45549</v>
      </c>
      <c r="M414" s="43" t="s">
        <v>69</v>
      </c>
      <c r="N414" s="43" t="s">
        <v>456</v>
      </c>
      <c r="O414" s="43" t="s">
        <v>174</v>
      </c>
      <c r="P414" s="43">
        <v>4</v>
      </c>
      <c r="Q414" s="45">
        <v>114750</v>
      </c>
      <c r="R414" s="45">
        <v>5737.5</v>
      </c>
      <c r="S414" s="45">
        <v>109012.5</v>
      </c>
    </row>
    <row r="415" spans="1:19" x14ac:dyDescent="0.3">
      <c r="A415" s="21">
        <v>10414</v>
      </c>
      <c r="B415" s="21" t="s">
        <v>541</v>
      </c>
      <c r="C415" s="21" t="s">
        <v>1644</v>
      </c>
      <c r="D415" s="21" t="s">
        <v>1812</v>
      </c>
      <c r="E415" s="21" t="s">
        <v>371</v>
      </c>
      <c r="F415" s="21" t="s">
        <v>98</v>
      </c>
      <c r="G415" s="43" t="s">
        <v>155</v>
      </c>
      <c r="H415" s="43" t="s">
        <v>92</v>
      </c>
      <c r="I415" s="43">
        <v>5</v>
      </c>
      <c r="J415" s="43">
        <v>1463</v>
      </c>
      <c r="K415" s="43">
        <v>10</v>
      </c>
      <c r="L415" s="44">
        <v>45495</v>
      </c>
      <c r="M415" s="43" t="s">
        <v>69</v>
      </c>
      <c r="N415" s="43" t="s">
        <v>25</v>
      </c>
      <c r="O415" s="43" t="s">
        <v>1641</v>
      </c>
      <c r="P415" s="43">
        <v>5</v>
      </c>
      <c r="Q415" s="45">
        <v>7315</v>
      </c>
      <c r="R415" s="45">
        <v>731.5</v>
      </c>
      <c r="S415" s="45">
        <v>6583.5</v>
      </c>
    </row>
    <row r="416" spans="1:19" x14ac:dyDescent="0.3">
      <c r="A416" s="21">
        <v>10415</v>
      </c>
      <c r="B416" s="21" t="s">
        <v>1176</v>
      </c>
      <c r="C416" s="21" t="s">
        <v>1736</v>
      </c>
      <c r="D416" s="21">
        <v>9958384556</v>
      </c>
      <c r="E416" s="21" t="s">
        <v>391</v>
      </c>
      <c r="F416" s="21" t="s">
        <v>90</v>
      </c>
      <c r="G416" s="43" t="s">
        <v>161</v>
      </c>
      <c r="H416" s="43" t="s">
        <v>83</v>
      </c>
      <c r="I416" s="43">
        <v>3</v>
      </c>
      <c r="J416" s="43">
        <v>16335</v>
      </c>
      <c r="K416" s="43">
        <v>0</v>
      </c>
      <c r="L416" s="44">
        <v>45497</v>
      </c>
      <c r="M416" s="43" t="s">
        <v>69</v>
      </c>
      <c r="N416" s="43" t="s">
        <v>25</v>
      </c>
      <c r="O416" s="43" t="s">
        <v>71</v>
      </c>
      <c r="P416" s="43">
        <v>2</v>
      </c>
      <c r="Q416" s="45">
        <v>49005</v>
      </c>
      <c r="R416" s="45">
        <v>0</v>
      </c>
      <c r="S416" s="45">
        <v>49005</v>
      </c>
    </row>
    <row r="417" spans="1:19" x14ac:dyDescent="0.3">
      <c r="A417" s="21">
        <v>10416</v>
      </c>
      <c r="B417" s="21" t="s">
        <v>1788</v>
      </c>
      <c r="C417" s="21" t="s">
        <v>1789</v>
      </c>
      <c r="D417" s="21">
        <v>9944971164</v>
      </c>
      <c r="E417" s="21" t="s">
        <v>371</v>
      </c>
      <c r="F417" s="21" t="s">
        <v>98</v>
      </c>
      <c r="G417" s="43" t="s">
        <v>112</v>
      </c>
      <c r="H417" s="43" t="s">
        <v>83</v>
      </c>
      <c r="I417" s="43">
        <v>3</v>
      </c>
      <c r="J417" s="43">
        <v>32638</v>
      </c>
      <c r="K417" s="43">
        <v>0</v>
      </c>
      <c r="L417" s="44">
        <v>45374</v>
      </c>
      <c r="M417" s="43" t="s">
        <v>1646</v>
      </c>
      <c r="N417" s="43" t="s">
        <v>25</v>
      </c>
      <c r="O417" s="43" t="s">
        <v>71</v>
      </c>
      <c r="P417" s="43">
        <v>5</v>
      </c>
      <c r="Q417" s="45">
        <v>97914</v>
      </c>
      <c r="R417" s="45">
        <v>0</v>
      </c>
      <c r="S417" s="45">
        <v>97914</v>
      </c>
    </row>
    <row r="418" spans="1:19" x14ac:dyDescent="0.3">
      <c r="A418" s="21">
        <v>10417</v>
      </c>
      <c r="B418" s="21" t="s">
        <v>561</v>
      </c>
      <c r="C418" s="21" t="s">
        <v>1776</v>
      </c>
      <c r="D418" s="21">
        <v>9762268691</v>
      </c>
      <c r="E418" s="21" t="s">
        <v>38</v>
      </c>
      <c r="F418" s="21" t="s">
        <v>429</v>
      </c>
      <c r="G418" s="43" t="s">
        <v>155</v>
      </c>
      <c r="H418" s="43" t="s">
        <v>92</v>
      </c>
      <c r="I418" s="43">
        <v>3</v>
      </c>
      <c r="J418" s="43">
        <v>1207</v>
      </c>
      <c r="K418" s="43">
        <v>20</v>
      </c>
      <c r="L418" s="44">
        <v>45436</v>
      </c>
      <c r="M418" s="43" t="s">
        <v>1649</v>
      </c>
      <c r="N418" s="43" t="s">
        <v>25</v>
      </c>
      <c r="O418" s="43" t="s">
        <v>71</v>
      </c>
      <c r="P418" s="43">
        <v>3</v>
      </c>
      <c r="Q418" s="45">
        <v>3621</v>
      </c>
      <c r="R418" s="45">
        <v>724.2</v>
      </c>
      <c r="S418" s="45">
        <v>2896.8</v>
      </c>
    </row>
    <row r="419" spans="1:19" x14ac:dyDescent="0.3">
      <c r="A419" s="21">
        <v>10418</v>
      </c>
      <c r="B419" s="21" t="s">
        <v>490</v>
      </c>
      <c r="C419" s="21" t="s">
        <v>1645</v>
      </c>
      <c r="D419" s="21" t="s">
        <v>1812</v>
      </c>
      <c r="E419" s="21" t="s">
        <v>391</v>
      </c>
      <c r="F419" s="21" t="s">
        <v>90</v>
      </c>
      <c r="G419" s="43" t="s">
        <v>280</v>
      </c>
      <c r="H419" s="43" t="s">
        <v>41</v>
      </c>
      <c r="I419" s="43">
        <v>2</v>
      </c>
      <c r="J419" s="43">
        <v>83</v>
      </c>
      <c r="K419" s="43">
        <v>20</v>
      </c>
      <c r="L419" s="44">
        <v>45529</v>
      </c>
      <c r="M419" s="43" t="s">
        <v>24</v>
      </c>
      <c r="N419" s="43" t="s">
        <v>25</v>
      </c>
      <c r="O419" s="43" t="s">
        <v>71</v>
      </c>
      <c r="P419" s="43" t="s">
        <v>1813</v>
      </c>
      <c r="Q419" s="45">
        <v>166</v>
      </c>
      <c r="R419" s="45">
        <v>33.200000000000003</v>
      </c>
      <c r="S419" s="45">
        <v>132.80000000000001</v>
      </c>
    </row>
    <row r="420" spans="1:19" x14ac:dyDescent="0.3">
      <c r="A420" s="21">
        <v>10419</v>
      </c>
      <c r="B420" s="21" t="s">
        <v>1668</v>
      </c>
      <c r="C420" s="21" t="s">
        <v>1669</v>
      </c>
      <c r="D420" s="21">
        <v>9338986276</v>
      </c>
      <c r="E420" s="21" t="s">
        <v>273</v>
      </c>
      <c r="F420" s="21" t="s">
        <v>50</v>
      </c>
      <c r="G420" s="43" t="s">
        <v>204</v>
      </c>
      <c r="H420" s="43" t="s">
        <v>143</v>
      </c>
      <c r="I420" s="43">
        <v>3</v>
      </c>
      <c r="J420" s="43">
        <v>269</v>
      </c>
      <c r="K420" s="43">
        <v>0</v>
      </c>
      <c r="L420" s="44">
        <v>45584</v>
      </c>
      <c r="M420" s="43" t="s">
        <v>24</v>
      </c>
      <c r="N420" s="43" t="s">
        <v>25</v>
      </c>
      <c r="O420" s="43" t="s">
        <v>34</v>
      </c>
      <c r="P420" s="43">
        <v>5</v>
      </c>
      <c r="Q420" s="45">
        <v>807</v>
      </c>
      <c r="R420" s="45">
        <v>0</v>
      </c>
      <c r="S420" s="45">
        <v>807</v>
      </c>
    </row>
    <row r="421" spans="1:19" x14ac:dyDescent="0.3">
      <c r="A421" s="21">
        <v>10420</v>
      </c>
      <c r="B421" s="21" t="s">
        <v>1657</v>
      </c>
      <c r="C421" s="21" t="s">
        <v>829</v>
      </c>
      <c r="D421" s="21">
        <v>9314109677</v>
      </c>
      <c r="E421" s="21" t="s">
        <v>219</v>
      </c>
      <c r="F421" s="21" t="s">
        <v>150</v>
      </c>
      <c r="G421" s="43" t="s">
        <v>161</v>
      </c>
      <c r="H421" s="43" t="s">
        <v>83</v>
      </c>
      <c r="I421" s="43">
        <v>5</v>
      </c>
      <c r="J421" s="43">
        <v>21523</v>
      </c>
      <c r="K421" s="43">
        <v>0</v>
      </c>
      <c r="L421" s="44">
        <v>45423</v>
      </c>
      <c r="M421" s="43" t="s">
        <v>1646</v>
      </c>
      <c r="N421" s="43" t="s">
        <v>25</v>
      </c>
      <c r="O421" s="43" t="s">
        <v>34</v>
      </c>
      <c r="P421" s="43">
        <v>4</v>
      </c>
      <c r="Q421" s="45">
        <v>107615</v>
      </c>
      <c r="R421" s="45">
        <v>0</v>
      </c>
      <c r="S421" s="45">
        <v>107615</v>
      </c>
    </row>
    <row r="422" spans="1:19" x14ac:dyDescent="0.3">
      <c r="A422" s="21">
        <v>10421</v>
      </c>
      <c r="B422" s="21" t="s">
        <v>1124</v>
      </c>
      <c r="C422" s="21" t="s">
        <v>1782</v>
      </c>
      <c r="D422" s="21" t="s">
        <v>1812</v>
      </c>
      <c r="E422" s="21" t="s">
        <v>197</v>
      </c>
      <c r="F422" s="21" t="s">
        <v>191</v>
      </c>
      <c r="G422" s="43" t="s">
        <v>161</v>
      </c>
      <c r="H422" s="43" t="s">
        <v>83</v>
      </c>
      <c r="I422" s="43">
        <v>3</v>
      </c>
      <c r="J422" s="43">
        <v>16154</v>
      </c>
      <c r="K422" s="43">
        <v>20</v>
      </c>
      <c r="L422" s="44">
        <v>45549</v>
      </c>
      <c r="M422" s="43" t="s">
        <v>43</v>
      </c>
      <c r="N422" s="43" t="s">
        <v>25</v>
      </c>
      <c r="O422" s="43" t="s">
        <v>1641</v>
      </c>
      <c r="P422" s="43">
        <v>5</v>
      </c>
      <c r="Q422" s="45">
        <v>48462</v>
      </c>
      <c r="R422" s="45">
        <v>9692.4</v>
      </c>
      <c r="S422" s="45">
        <v>38769.599999999999</v>
      </c>
    </row>
    <row r="423" spans="1:19" x14ac:dyDescent="0.3">
      <c r="A423" s="21">
        <v>10422</v>
      </c>
      <c r="B423" s="21" t="s">
        <v>310</v>
      </c>
      <c r="C423" s="21" t="s">
        <v>1640</v>
      </c>
      <c r="D423" s="21">
        <v>9496533443</v>
      </c>
      <c r="E423" s="21" t="s">
        <v>219</v>
      </c>
      <c r="F423" s="21" t="s">
        <v>150</v>
      </c>
      <c r="G423" s="43" t="s">
        <v>280</v>
      </c>
      <c r="H423" s="43" t="s">
        <v>41</v>
      </c>
      <c r="I423" s="43">
        <v>3</v>
      </c>
      <c r="J423" s="43">
        <v>172</v>
      </c>
      <c r="K423" s="43">
        <v>5</v>
      </c>
      <c r="L423" s="44">
        <v>45402</v>
      </c>
      <c r="M423" s="43" t="s">
        <v>1649</v>
      </c>
      <c r="N423" s="43" t="s">
        <v>25</v>
      </c>
      <c r="O423" s="43" t="s">
        <v>45</v>
      </c>
      <c r="P423" s="43">
        <v>5</v>
      </c>
      <c r="Q423" s="45">
        <v>516</v>
      </c>
      <c r="R423" s="45">
        <v>25.8</v>
      </c>
      <c r="S423" s="45">
        <v>490.2</v>
      </c>
    </row>
    <row r="424" spans="1:19" x14ac:dyDescent="0.3">
      <c r="A424" s="21">
        <v>10423</v>
      </c>
      <c r="B424" s="21" t="s">
        <v>300</v>
      </c>
      <c r="C424" s="21" t="s">
        <v>1679</v>
      </c>
      <c r="D424" s="21">
        <v>9785899176</v>
      </c>
      <c r="E424" s="21" t="s">
        <v>74</v>
      </c>
      <c r="F424" s="21" t="s">
        <v>75</v>
      </c>
      <c r="G424" s="43" t="s">
        <v>280</v>
      </c>
      <c r="H424" s="43" t="s">
        <v>41</v>
      </c>
      <c r="I424" s="43">
        <v>5</v>
      </c>
      <c r="J424" s="43">
        <v>114</v>
      </c>
      <c r="K424" s="43">
        <v>15</v>
      </c>
      <c r="L424" s="44">
        <v>45306</v>
      </c>
      <c r="M424" s="43" t="s">
        <v>1649</v>
      </c>
      <c r="N424" s="43" t="s">
        <v>25</v>
      </c>
      <c r="O424" s="43" t="s">
        <v>71</v>
      </c>
      <c r="P424" s="43">
        <v>4</v>
      </c>
      <c r="Q424" s="45">
        <v>570</v>
      </c>
      <c r="R424" s="45">
        <v>85.5</v>
      </c>
      <c r="S424" s="45">
        <v>484.5</v>
      </c>
    </row>
    <row r="425" spans="1:19" x14ac:dyDescent="0.3">
      <c r="A425" s="21">
        <v>10424</v>
      </c>
      <c r="B425" s="21" t="s">
        <v>255</v>
      </c>
      <c r="C425" s="21" t="s">
        <v>1674</v>
      </c>
      <c r="D425" s="21">
        <v>9347760520</v>
      </c>
      <c r="E425" s="21" t="s">
        <v>279</v>
      </c>
      <c r="F425" s="21" t="s">
        <v>259</v>
      </c>
      <c r="G425" s="43" t="s">
        <v>226</v>
      </c>
      <c r="H425" s="43" t="s">
        <v>22</v>
      </c>
      <c r="I425" s="43">
        <v>3</v>
      </c>
      <c r="J425" s="43">
        <v>1425</v>
      </c>
      <c r="K425" s="43">
        <v>0</v>
      </c>
      <c r="L425" s="44">
        <v>45657</v>
      </c>
      <c r="M425" s="43" t="s">
        <v>24</v>
      </c>
      <c r="N425" s="43" t="s">
        <v>25</v>
      </c>
      <c r="O425" s="43" t="s">
        <v>1641</v>
      </c>
      <c r="P425" s="43">
        <v>3</v>
      </c>
      <c r="Q425" s="45">
        <v>4275</v>
      </c>
      <c r="R425" s="45">
        <v>0</v>
      </c>
      <c r="S425" s="45">
        <v>4275</v>
      </c>
    </row>
    <row r="426" spans="1:19" x14ac:dyDescent="0.3">
      <c r="A426" s="21">
        <v>10425</v>
      </c>
      <c r="B426" s="21" t="s">
        <v>1176</v>
      </c>
      <c r="C426" s="21" t="s">
        <v>1736</v>
      </c>
      <c r="D426" s="21" t="s">
        <v>1812</v>
      </c>
      <c r="E426" s="21" t="s">
        <v>172</v>
      </c>
      <c r="F426" s="21" t="s">
        <v>150</v>
      </c>
      <c r="G426" s="43" t="s">
        <v>106</v>
      </c>
      <c r="H426" s="43" t="s">
        <v>83</v>
      </c>
      <c r="I426" s="43">
        <v>2</v>
      </c>
      <c r="J426" s="43">
        <v>13296</v>
      </c>
      <c r="K426" s="43">
        <v>10</v>
      </c>
      <c r="L426" s="44">
        <v>45574</v>
      </c>
      <c r="M426" s="43" t="s">
        <v>1646</v>
      </c>
      <c r="N426" s="43" t="s">
        <v>25</v>
      </c>
      <c r="O426" s="43" t="s">
        <v>1641</v>
      </c>
      <c r="P426" s="43">
        <v>2</v>
      </c>
      <c r="Q426" s="45">
        <v>26592</v>
      </c>
      <c r="R426" s="45">
        <v>2659.2</v>
      </c>
      <c r="S426" s="45">
        <v>23932.799999999999</v>
      </c>
    </row>
    <row r="427" spans="1:19" x14ac:dyDescent="0.3">
      <c r="A427" s="21">
        <v>10426</v>
      </c>
      <c r="B427" s="21" t="s">
        <v>1747</v>
      </c>
      <c r="C427" s="21" t="s">
        <v>1748</v>
      </c>
      <c r="D427" s="21">
        <v>9558535797</v>
      </c>
      <c r="E427" s="21" t="s">
        <v>38</v>
      </c>
      <c r="F427" s="21" t="s">
        <v>429</v>
      </c>
      <c r="G427" s="43" t="s">
        <v>198</v>
      </c>
      <c r="H427" s="43" t="s">
        <v>41</v>
      </c>
      <c r="I427" s="43">
        <v>4</v>
      </c>
      <c r="J427" s="43">
        <v>295</v>
      </c>
      <c r="K427" s="43">
        <v>15</v>
      </c>
      <c r="L427" s="44">
        <v>45598</v>
      </c>
      <c r="M427" s="43" t="s">
        <v>69</v>
      </c>
      <c r="N427" s="43" t="s">
        <v>25</v>
      </c>
      <c r="O427" s="43" t="s">
        <v>53</v>
      </c>
      <c r="P427" s="43">
        <v>3</v>
      </c>
      <c r="Q427" s="45">
        <v>1180</v>
      </c>
      <c r="R427" s="45">
        <v>177</v>
      </c>
      <c r="S427" s="45">
        <v>1003</v>
      </c>
    </row>
    <row r="428" spans="1:19" x14ac:dyDescent="0.3">
      <c r="A428" s="21">
        <v>10427</v>
      </c>
      <c r="B428" s="21" t="s">
        <v>255</v>
      </c>
      <c r="C428" s="21" t="s">
        <v>256</v>
      </c>
      <c r="D428" s="21">
        <v>9786594727</v>
      </c>
      <c r="E428" s="21" t="s">
        <v>273</v>
      </c>
      <c r="F428" s="21" t="s">
        <v>50</v>
      </c>
      <c r="G428" s="43" t="s">
        <v>106</v>
      </c>
      <c r="H428" s="43" t="s">
        <v>83</v>
      </c>
      <c r="I428" s="43">
        <v>2</v>
      </c>
      <c r="J428" s="43">
        <v>6595</v>
      </c>
      <c r="K428" s="43">
        <v>5</v>
      </c>
      <c r="L428" s="44">
        <v>45416</v>
      </c>
      <c r="M428" s="43" t="s">
        <v>43</v>
      </c>
      <c r="N428" s="43" t="s">
        <v>119</v>
      </c>
      <c r="O428" s="43" t="s">
        <v>45</v>
      </c>
      <c r="P428" s="43" t="s">
        <v>1813</v>
      </c>
      <c r="Q428" s="45">
        <v>13190</v>
      </c>
      <c r="R428" s="45">
        <v>659.5</v>
      </c>
      <c r="S428" s="45">
        <v>12530.5</v>
      </c>
    </row>
    <row r="429" spans="1:19" x14ac:dyDescent="0.3">
      <c r="A429" s="21">
        <v>10428</v>
      </c>
      <c r="B429" s="21" t="s">
        <v>574</v>
      </c>
      <c r="C429" s="21" t="s">
        <v>1708</v>
      </c>
      <c r="D429" s="21" t="s">
        <v>1812</v>
      </c>
      <c r="E429" s="21" t="s">
        <v>273</v>
      </c>
      <c r="F429" s="21" t="s">
        <v>50</v>
      </c>
      <c r="G429" s="43" t="s">
        <v>161</v>
      </c>
      <c r="H429" s="43" t="s">
        <v>83</v>
      </c>
      <c r="I429" s="43">
        <v>4</v>
      </c>
      <c r="J429" s="43">
        <v>22038</v>
      </c>
      <c r="K429" s="43">
        <v>15</v>
      </c>
      <c r="L429" s="44">
        <v>45463</v>
      </c>
      <c r="M429" s="43" t="s">
        <v>43</v>
      </c>
      <c r="N429" s="43" t="s">
        <v>25</v>
      </c>
      <c r="O429" s="43" t="s">
        <v>71</v>
      </c>
      <c r="P429" s="43" t="s">
        <v>1813</v>
      </c>
      <c r="Q429" s="45">
        <v>88152</v>
      </c>
      <c r="R429" s="45">
        <v>13222.8</v>
      </c>
      <c r="S429" s="45">
        <v>74929.2</v>
      </c>
    </row>
    <row r="430" spans="1:19" x14ac:dyDescent="0.3">
      <c r="A430" s="21">
        <v>10429</v>
      </c>
      <c r="B430" s="21" t="s">
        <v>911</v>
      </c>
      <c r="C430" s="21" t="s">
        <v>1766</v>
      </c>
      <c r="D430" s="21">
        <v>9543793347</v>
      </c>
      <c r="E430" s="21" t="s">
        <v>273</v>
      </c>
      <c r="F430" s="21" t="s">
        <v>50</v>
      </c>
      <c r="G430" s="43" t="s">
        <v>155</v>
      </c>
      <c r="H430" s="43" t="s">
        <v>92</v>
      </c>
      <c r="I430" s="43">
        <v>2</v>
      </c>
      <c r="J430" s="43">
        <v>424</v>
      </c>
      <c r="K430" s="43">
        <v>10</v>
      </c>
      <c r="L430" s="44">
        <v>45560</v>
      </c>
      <c r="M430" s="43" t="s">
        <v>24</v>
      </c>
      <c r="N430" s="43" t="s">
        <v>25</v>
      </c>
      <c r="O430" s="43" t="s">
        <v>45</v>
      </c>
      <c r="P430" s="43" t="s">
        <v>1813</v>
      </c>
      <c r="Q430" s="45">
        <v>848</v>
      </c>
      <c r="R430" s="45">
        <v>84.8</v>
      </c>
      <c r="S430" s="45">
        <v>763.2</v>
      </c>
    </row>
    <row r="431" spans="1:19" x14ac:dyDescent="0.3">
      <c r="A431" s="21">
        <v>10430</v>
      </c>
      <c r="B431" s="21" t="s">
        <v>1650</v>
      </c>
      <c r="C431" s="21" t="s">
        <v>115</v>
      </c>
      <c r="D431" s="21">
        <v>9133005121</v>
      </c>
      <c r="E431" s="21" t="s">
        <v>219</v>
      </c>
      <c r="F431" s="21" t="s">
        <v>150</v>
      </c>
      <c r="G431" s="43" t="s">
        <v>368</v>
      </c>
      <c r="H431" s="43" t="s">
        <v>22</v>
      </c>
      <c r="I431" s="43">
        <v>5</v>
      </c>
      <c r="J431" s="43">
        <v>1275</v>
      </c>
      <c r="K431" s="43">
        <v>0</v>
      </c>
      <c r="L431" s="44">
        <v>45378</v>
      </c>
      <c r="M431" s="43" t="s">
        <v>69</v>
      </c>
      <c r="N431" s="43" t="s">
        <v>25</v>
      </c>
      <c r="O431" s="43" t="s">
        <v>174</v>
      </c>
      <c r="P431" s="43">
        <v>5</v>
      </c>
      <c r="Q431" s="45">
        <v>6375</v>
      </c>
      <c r="R431" s="45">
        <v>0</v>
      </c>
      <c r="S431" s="45">
        <v>6375</v>
      </c>
    </row>
    <row r="432" spans="1:19" x14ac:dyDescent="0.3">
      <c r="A432" s="21">
        <v>10431</v>
      </c>
      <c r="B432" s="21" t="s">
        <v>1315</v>
      </c>
      <c r="C432" s="21" t="s">
        <v>1645</v>
      </c>
      <c r="D432" s="21">
        <v>9428303355</v>
      </c>
      <c r="E432" s="21" t="s">
        <v>172</v>
      </c>
      <c r="F432" s="21" t="s">
        <v>150</v>
      </c>
      <c r="G432" s="43" t="s">
        <v>106</v>
      </c>
      <c r="H432" s="43" t="s">
        <v>83</v>
      </c>
      <c r="I432" s="43">
        <v>4</v>
      </c>
      <c r="J432" s="43">
        <v>12569</v>
      </c>
      <c r="K432" s="43">
        <v>20</v>
      </c>
      <c r="L432" s="44">
        <v>45499</v>
      </c>
      <c r="M432" s="43" t="s">
        <v>1646</v>
      </c>
      <c r="N432" s="43" t="s">
        <v>25</v>
      </c>
      <c r="O432" s="43" t="s">
        <v>34</v>
      </c>
      <c r="P432" s="43">
        <v>1</v>
      </c>
      <c r="Q432" s="45">
        <v>50276</v>
      </c>
      <c r="R432" s="45">
        <v>10055.200000000001</v>
      </c>
      <c r="S432" s="45">
        <v>40220.800000000003</v>
      </c>
    </row>
    <row r="433" spans="1:19" x14ac:dyDescent="0.3">
      <c r="A433" s="21">
        <v>10432</v>
      </c>
      <c r="B433" s="21" t="s">
        <v>329</v>
      </c>
      <c r="C433" s="21" t="s">
        <v>1684</v>
      </c>
      <c r="D433" s="21" t="s">
        <v>1812</v>
      </c>
      <c r="E433" s="21" t="s">
        <v>111</v>
      </c>
      <c r="F433" s="21" t="s">
        <v>111</v>
      </c>
      <c r="G433" s="43" t="s">
        <v>226</v>
      </c>
      <c r="H433" s="43" t="s">
        <v>22</v>
      </c>
      <c r="I433" s="43">
        <v>2</v>
      </c>
      <c r="J433" s="43">
        <v>1424</v>
      </c>
      <c r="K433" s="43">
        <v>20</v>
      </c>
      <c r="L433" s="44">
        <v>45626</v>
      </c>
      <c r="M433" s="43" t="s">
        <v>1646</v>
      </c>
      <c r="N433" s="43" t="s">
        <v>25</v>
      </c>
      <c r="O433" s="43" t="s">
        <v>1641</v>
      </c>
      <c r="P433" s="43">
        <v>2</v>
      </c>
      <c r="Q433" s="45">
        <v>2848</v>
      </c>
      <c r="R433" s="45">
        <v>569.6</v>
      </c>
      <c r="S433" s="45">
        <v>2278.4</v>
      </c>
    </row>
    <row r="434" spans="1:19" x14ac:dyDescent="0.3">
      <c r="A434" s="21">
        <v>10433</v>
      </c>
      <c r="B434" s="21" t="s">
        <v>870</v>
      </c>
      <c r="C434" s="21" t="s">
        <v>1761</v>
      </c>
      <c r="D434" s="21">
        <v>9836821082</v>
      </c>
      <c r="E434" s="21" t="s">
        <v>172</v>
      </c>
      <c r="F434" s="21" t="s">
        <v>150</v>
      </c>
      <c r="G434" s="43" t="s">
        <v>204</v>
      </c>
      <c r="H434" s="43" t="s">
        <v>143</v>
      </c>
      <c r="I434" s="43">
        <v>5</v>
      </c>
      <c r="J434" s="43">
        <v>553</v>
      </c>
      <c r="K434" s="43">
        <v>5</v>
      </c>
      <c r="L434" s="44">
        <v>45551</v>
      </c>
      <c r="M434" s="43" t="s">
        <v>1646</v>
      </c>
      <c r="N434" s="43" t="s">
        <v>25</v>
      </c>
      <c r="O434" s="43" t="s">
        <v>174</v>
      </c>
      <c r="P434" s="43">
        <v>3</v>
      </c>
      <c r="Q434" s="45">
        <v>2765</v>
      </c>
      <c r="R434" s="45">
        <v>138.25</v>
      </c>
      <c r="S434" s="45">
        <v>2626.75</v>
      </c>
    </row>
    <row r="435" spans="1:19" x14ac:dyDescent="0.3">
      <c r="A435" s="21">
        <v>10434</v>
      </c>
      <c r="B435" s="21" t="s">
        <v>72</v>
      </c>
      <c r="C435" s="21" t="s">
        <v>1711</v>
      </c>
      <c r="D435" s="21">
        <v>9132167452</v>
      </c>
      <c r="E435" s="21" t="s">
        <v>273</v>
      </c>
      <c r="F435" s="21" t="s">
        <v>50</v>
      </c>
      <c r="G435" s="43" t="s">
        <v>198</v>
      </c>
      <c r="H435" s="43" t="s">
        <v>41</v>
      </c>
      <c r="I435" s="43">
        <v>2</v>
      </c>
      <c r="J435" s="43">
        <v>368</v>
      </c>
      <c r="K435" s="43">
        <v>5</v>
      </c>
      <c r="L435" s="44">
        <v>45639</v>
      </c>
      <c r="M435" s="43" t="s">
        <v>43</v>
      </c>
      <c r="N435" s="43" t="s">
        <v>25</v>
      </c>
      <c r="O435" s="43" t="s">
        <v>53</v>
      </c>
      <c r="P435" s="43">
        <v>1</v>
      </c>
      <c r="Q435" s="45">
        <v>736</v>
      </c>
      <c r="R435" s="45">
        <v>36.799999999999997</v>
      </c>
      <c r="S435" s="45">
        <v>699.2</v>
      </c>
    </row>
    <row r="436" spans="1:19" x14ac:dyDescent="0.3">
      <c r="A436" s="21">
        <v>10435</v>
      </c>
      <c r="B436" s="21" t="s">
        <v>707</v>
      </c>
      <c r="C436" s="21" t="s">
        <v>1744</v>
      </c>
      <c r="D436" s="21">
        <v>9873731288</v>
      </c>
      <c r="E436" s="21" t="s">
        <v>111</v>
      </c>
      <c r="F436" s="21" t="s">
        <v>111</v>
      </c>
      <c r="G436" s="43" t="s">
        <v>231</v>
      </c>
      <c r="H436" s="43" t="s">
        <v>83</v>
      </c>
      <c r="I436" s="43">
        <v>3</v>
      </c>
      <c r="J436" s="43">
        <v>4046</v>
      </c>
      <c r="K436" s="43">
        <v>15</v>
      </c>
      <c r="L436" s="44">
        <v>45446</v>
      </c>
      <c r="M436" s="43" t="s">
        <v>43</v>
      </c>
      <c r="N436" s="43" t="s">
        <v>25</v>
      </c>
      <c r="O436" s="43" t="s">
        <v>174</v>
      </c>
      <c r="P436" s="43">
        <v>5</v>
      </c>
      <c r="Q436" s="45">
        <v>12138</v>
      </c>
      <c r="R436" s="45">
        <v>1820.7</v>
      </c>
      <c r="S436" s="45">
        <v>10317.299999999999</v>
      </c>
    </row>
    <row r="437" spans="1:19" x14ac:dyDescent="0.3">
      <c r="A437" s="21">
        <v>10436</v>
      </c>
      <c r="B437" s="21" t="s">
        <v>1680</v>
      </c>
      <c r="C437" s="21" t="s">
        <v>1681</v>
      </c>
      <c r="D437" s="21">
        <v>9714024604</v>
      </c>
      <c r="E437" s="21" t="s">
        <v>343</v>
      </c>
      <c r="F437" s="21" t="s">
        <v>50</v>
      </c>
      <c r="G437" s="43" t="s">
        <v>155</v>
      </c>
      <c r="H437" s="43" t="s">
        <v>92</v>
      </c>
      <c r="I437" s="43">
        <v>3</v>
      </c>
      <c r="J437" s="43">
        <v>1410</v>
      </c>
      <c r="K437" s="43">
        <v>20</v>
      </c>
      <c r="L437" s="44">
        <v>45421</v>
      </c>
      <c r="M437" s="43" t="s">
        <v>1646</v>
      </c>
      <c r="N437" s="43" t="s">
        <v>25</v>
      </c>
      <c r="O437" s="43" t="s">
        <v>34</v>
      </c>
      <c r="P437" s="43">
        <v>2</v>
      </c>
      <c r="Q437" s="45">
        <v>4230</v>
      </c>
      <c r="R437" s="45">
        <v>846</v>
      </c>
      <c r="S437" s="45">
        <v>3384</v>
      </c>
    </row>
    <row r="438" spans="1:19" x14ac:dyDescent="0.3">
      <c r="A438" s="21">
        <v>10437</v>
      </c>
      <c r="B438" s="21" t="s">
        <v>314</v>
      </c>
      <c r="C438" s="21" t="s">
        <v>1682</v>
      </c>
      <c r="D438" s="21">
        <v>9569450596</v>
      </c>
      <c r="E438" s="21" t="s">
        <v>279</v>
      </c>
      <c r="F438" s="21" t="s">
        <v>259</v>
      </c>
      <c r="G438" s="43" t="s">
        <v>231</v>
      </c>
      <c r="H438" s="43" t="s">
        <v>83</v>
      </c>
      <c r="I438" s="43">
        <v>1</v>
      </c>
      <c r="J438" s="43">
        <v>4519</v>
      </c>
      <c r="K438" s="43">
        <v>20</v>
      </c>
      <c r="L438" s="44">
        <v>45503</v>
      </c>
      <c r="M438" s="43" t="s">
        <v>1649</v>
      </c>
      <c r="N438" s="43" t="s">
        <v>25</v>
      </c>
      <c r="O438" s="43" t="s">
        <v>53</v>
      </c>
      <c r="P438" s="43">
        <v>4</v>
      </c>
      <c r="Q438" s="45">
        <v>4519</v>
      </c>
      <c r="R438" s="45">
        <v>903.8</v>
      </c>
      <c r="S438" s="45">
        <v>3615.2</v>
      </c>
    </row>
    <row r="439" spans="1:19" x14ac:dyDescent="0.3">
      <c r="A439" s="21">
        <v>10438</v>
      </c>
      <c r="B439" s="21" t="s">
        <v>351</v>
      </c>
      <c r="C439" s="21" t="s">
        <v>1645</v>
      </c>
      <c r="D439" s="21">
        <v>9132014326</v>
      </c>
      <c r="E439" s="21" t="s">
        <v>371</v>
      </c>
      <c r="F439" s="21" t="s">
        <v>98</v>
      </c>
      <c r="G439" s="43" t="s">
        <v>179</v>
      </c>
      <c r="H439" s="43" t="s">
        <v>60</v>
      </c>
      <c r="I439" s="43">
        <v>2</v>
      </c>
      <c r="J439" s="43">
        <v>644</v>
      </c>
      <c r="K439" s="43">
        <v>0</v>
      </c>
      <c r="L439" s="44">
        <v>45436</v>
      </c>
      <c r="M439" s="43" t="s">
        <v>1646</v>
      </c>
      <c r="N439" s="43" t="s">
        <v>25</v>
      </c>
      <c r="O439" s="43" t="s">
        <v>71</v>
      </c>
      <c r="P439" s="43">
        <v>3</v>
      </c>
      <c r="Q439" s="45">
        <v>1288</v>
      </c>
      <c r="R439" s="45">
        <v>0</v>
      </c>
      <c r="S439" s="45">
        <v>1288</v>
      </c>
    </row>
    <row r="440" spans="1:19" x14ac:dyDescent="0.3">
      <c r="A440" s="21">
        <v>10439</v>
      </c>
      <c r="B440" s="21" t="s">
        <v>722</v>
      </c>
      <c r="C440" s="21" t="s">
        <v>1704</v>
      </c>
      <c r="D440" s="21">
        <v>9143112701</v>
      </c>
      <c r="E440" s="21" t="s">
        <v>273</v>
      </c>
      <c r="F440" s="21" t="s">
        <v>50</v>
      </c>
      <c r="G440" s="43" t="s">
        <v>112</v>
      </c>
      <c r="H440" s="43" t="s">
        <v>83</v>
      </c>
      <c r="I440" s="43">
        <v>2</v>
      </c>
      <c r="J440" s="43">
        <v>20023</v>
      </c>
      <c r="K440" s="43">
        <v>0</v>
      </c>
      <c r="L440" s="44">
        <v>45603</v>
      </c>
      <c r="M440" s="43" t="s">
        <v>69</v>
      </c>
      <c r="N440" s="43" t="s">
        <v>25</v>
      </c>
      <c r="O440" s="43" t="s">
        <v>71</v>
      </c>
      <c r="P440" s="43" t="s">
        <v>1813</v>
      </c>
      <c r="Q440" s="45">
        <v>40046</v>
      </c>
      <c r="R440" s="45">
        <v>0</v>
      </c>
      <c r="S440" s="45">
        <v>40046</v>
      </c>
    </row>
    <row r="441" spans="1:19" x14ac:dyDescent="0.3">
      <c r="A441" s="21">
        <v>10440</v>
      </c>
      <c r="B441" s="21" t="s">
        <v>1297</v>
      </c>
      <c r="C441" s="21" t="s">
        <v>1579</v>
      </c>
      <c r="D441" s="21">
        <v>9958696310</v>
      </c>
      <c r="E441" s="21" t="s">
        <v>38</v>
      </c>
      <c r="F441" s="21" t="s">
        <v>429</v>
      </c>
      <c r="G441" s="43" t="s">
        <v>151</v>
      </c>
      <c r="H441" s="43" t="s">
        <v>143</v>
      </c>
      <c r="I441" s="43">
        <v>4</v>
      </c>
      <c r="J441" s="43">
        <v>628</v>
      </c>
      <c r="K441" s="43">
        <v>5</v>
      </c>
      <c r="L441" s="44">
        <v>45583</v>
      </c>
      <c r="M441" s="43" t="s">
        <v>69</v>
      </c>
      <c r="N441" s="43" t="s">
        <v>25</v>
      </c>
      <c r="O441" s="43" t="s">
        <v>45</v>
      </c>
      <c r="P441" s="43" t="s">
        <v>1813</v>
      </c>
      <c r="Q441" s="45">
        <v>2512</v>
      </c>
      <c r="R441" s="45">
        <v>125.6</v>
      </c>
      <c r="S441" s="45">
        <v>2386.4</v>
      </c>
    </row>
    <row r="442" spans="1:19" x14ac:dyDescent="0.3">
      <c r="A442" s="21">
        <v>10441</v>
      </c>
      <c r="B442" s="21" t="s">
        <v>870</v>
      </c>
      <c r="C442" s="21" t="s">
        <v>871</v>
      </c>
      <c r="D442" s="21">
        <v>9835305412</v>
      </c>
      <c r="E442" s="21" t="s">
        <v>111</v>
      </c>
      <c r="F442" s="21" t="s">
        <v>111</v>
      </c>
      <c r="G442" s="43" t="s">
        <v>368</v>
      </c>
      <c r="H442" s="43" t="s">
        <v>22</v>
      </c>
      <c r="I442" s="43">
        <v>5</v>
      </c>
      <c r="J442" s="43">
        <v>1708</v>
      </c>
      <c r="K442" s="43">
        <v>5</v>
      </c>
      <c r="L442" s="44">
        <v>45313</v>
      </c>
      <c r="M442" s="43" t="s">
        <v>24</v>
      </c>
      <c r="N442" s="43" t="s">
        <v>25</v>
      </c>
      <c r="O442" s="43" t="s">
        <v>1641</v>
      </c>
      <c r="P442" s="43">
        <v>5</v>
      </c>
      <c r="Q442" s="45">
        <v>8540</v>
      </c>
      <c r="R442" s="45">
        <v>427</v>
      </c>
      <c r="S442" s="45">
        <v>8113</v>
      </c>
    </row>
    <row r="443" spans="1:19" x14ac:dyDescent="0.3">
      <c r="A443" s="21">
        <v>10442</v>
      </c>
      <c r="B443" s="21" t="s">
        <v>394</v>
      </c>
      <c r="C443" s="21" t="s">
        <v>1666</v>
      </c>
      <c r="D443" s="21">
        <v>9391609997</v>
      </c>
      <c r="E443" s="21" t="s">
        <v>279</v>
      </c>
      <c r="F443" s="21" t="s">
        <v>259</v>
      </c>
      <c r="G443" s="43" t="s">
        <v>112</v>
      </c>
      <c r="H443" s="43" t="s">
        <v>83</v>
      </c>
      <c r="I443" s="43">
        <v>4</v>
      </c>
      <c r="J443" s="43">
        <v>24295</v>
      </c>
      <c r="K443" s="43">
        <v>0</v>
      </c>
      <c r="L443" s="44">
        <v>45551</v>
      </c>
      <c r="M443" s="43" t="s">
        <v>1649</v>
      </c>
      <c r="N443" s="43" t="s">
        <v>25</v>
      </c>
      <c r="O443" s="43" t="s">
        <v>71</v>
      </c>
      <c r="P443" s="43">
        <v>4</v>
      </c>
      <c r="Q443" s="45">
        <v>97180</v>
      </c>
      <c r="R443" s="45">
        <v>0</v>
      </c>
      <c r="S443" s="45">
        <v>97180</v>
      </c>
    </row>
    <row r="444" spans="1:19" x14ac:dyDescent="0.3">
      <c r="A444" s="21">
        <v>10443</v>
      </c>
      <c r="B444" s="21" t="s">
        <v>661</v>
      </c>
      <c r="C444" s="21" t="s">
        <v>1735</v>
      </c>
      <c r="D444" s="21">
        <v>9724198479</v>
      </c>
      <c r="E444" s="21" t="s">
        <v>279</v>
      </c>
      <c r="F444" s="21" t="s">
        <v>259</v>
      </c>
      <c r="G444" s="43" t="s">
        <v>155</v>
      </c>
      <c r="H444" s="43" t="s">
        <v>92</v>
      </c>
      <c r="I444" s="43">
        <v>4</v>
      </c>
      <c r="J444" s="43">
        <v>895</v>
      </c>
      <c r="K444" s="43">
        <v>20</v>
      </c>
      <c r="L444" s="44">
        <v>45367</v>
      </c>
      <c r="M444" s="43" t="s">
        <v>24</v>
      </c>
      <c r="N444" s="43" t="s">
        <v>456</v>
      </c>
      <c r="O444" s="43" t="s">
        <v>71</v>
      </c>
      <c r="P444" s="43">
        <v>1</v>
      </c>
      <c r="Q444" s="45">
        <v>3580</v>
      </c>
      <c r="R444" s="45">
        <v>716</v>
      </c>
      <c r="S444" s="45">
        <v>2864</v>
      </c>
    </row>
    <row r="445" spans="1:19" x14ac:dyDescent="0.3">
      <c r="A445" s="21">
        <v>10444</v>
      </c>
      <c r="B445" s="21" t="s">
        <v>1694</v>
      </c>
      <c r="C445" s="21" t="s">
        <v>1645</v>
      </c>
      <c r="D445" s="21">
        <v>9777613979</v>
      </c>
      <c r="E445" s="21" t="s">
        <v>38</v>
      </c>
      <c r="F445" s="21" t="s">
        <v>429</v>
      </c>
      <c r="G445" s="43" t="s">
        <v>368</v>
      </c>
      <c r="H445" s="43" t="s">
        <v>22</v>
      </c>
      <c r="I445" s="43">
        <v>3</v>
      </c>
      <c r="J445" s="43">
        <v>2196</v>
      </c>
      <c r="K445" s="43">
        <v>0</v>
      </c>
      <c r="L445" s="44">
        <v>45472</v>
      </c>
      <c r="M445" s="43" t="s">
        <v>1646</v>
      </c>
      <c r="N445" s="43" t="s">
        <v>25</v>
      </c>
      <c r="O445" s="43" t="s">
        <v>53</v>
      </c>
      <c r="P445" s="43">
        <v>5</v>
      </c>
      <c r="Q445" s="45">
        <v>6588</v>
      </c>
      <c r="R445" s="45">
        <v>0</v>
      </c>
      <c r="S445" s="45">
        <v>6588</v>
      </c>
    </row>
    <row r="446" spans="1:19" x14ac:dyDescent="0.3">
      <c r="A446" s="21">
        <v>10445</v>
      </c>
      <c r="B446" s="21" t="s">
        <v>849</v>
      </c>
      <c r="C446" s="21" t="s">
        <v>1727</v>
      </c>
      <c r="D446" s="21">
        <v>9120332160</v>
      </c>
      <c r="E446" s="21" t="s">
        <v>38</v>
      </c>
      <c r="F446" s="21" t="s">
        <v>429</v>
      </c>
      <c r="G446" s="43" t="s">
        <v>99</v>
      </c>
      <c r="H446" s="43" t="s">
        <v>92</v>
      </c>
      <c r="I446" s="43">
        <v>2</v>
      </c>
      <c r="J446" s="43">
        <v>2401</v>
      </c>
      <c r="K446" s="43">
        <v>5</v>
      </c>
      <c r="L446" s="44">
        <v>45355</v>
      </c>
      <c r="M446" s="43" t="s">
        <v>43</v>
      </c>
      <c r="N446" s="43" t="s">
        <v>25</v>
      </c>
      <c r="O446" s="43" t="s">
        <v>174</v>
      </c>
      <c r="P446" s="43">
        <v>4</v>
      </c>
      <c r="Q446" s="45">
        <v>4802</v>
      </c>
      <c r="R446" s="45">
        <v>240.1</v>
      </c>
      <c r="S446" s="45">
        <v>4561.8999999999996</v>
      </c>
    </row>
    <row r="447" spans="1:19" x14ac:dyDescent="0.3">
      <c r="A447" s="21">
        <v>10446</v>
      </c>
      <c r="B447" s="21" t="s">
        <v>1694</v>
      </c>
      <c r="C447" s="21" t="s">
        <v>1645</v>
      </c>
      <c r="D447" s="21" t="s">
        <v>1812</v>
      </c>
      <c r="E447" s="21" t="s">
        <v>57</v>
      </c>
      <c r="F447" s="21" t="s">
        <v>50</v>
      </c>
      <c r="G447" s="43" t="s">
        <v>231</v>
      </c>
      <c r="H447" s="43" t="s">
        <v>83</v>
      </c>
      <c r="I447" s="43">
        <v>2</v>
      </c>
      <c r="J447" s="43">
        <v>4040</v>
      </c>
      <c r="K447" s="43">
        <v>15</v>
      </c>
      <c r="L447" s="44">
        <v>45633</v>
      </c>
      <c r="M447" s="43" t="s">
        <v>69</v>
      </c>
      <c r="N447" s="43" t="s">
        <v>25</v>
      </c>
      <c r="O447" s="43" t="s">
        <v>34</v>
      </c>
      <c r="P447" s="43">
        <v>1</v>
      </c>
      <c r="Q447" s="45">
        <v>8080</v>
      </c>
      <c r="R447" s="45">
        <v>1212</v>
      </c>
      <c r="S447" s="45">
        <v>6868</v>
      </c>
    </row>
    <row r="448" spans="1:19" x14ac:dyDescent="0.3">
      <c r="A448" s="21">
        <v>10447</v>
      </c>
      <c r="B448" s="21" t="s">
        <v>194</v>
      </c>
      <c r="C448" s="21" t="s">
        <v>1664</v>
      </c>
      <c r="D448" s="21">
        <v>9562212838</v>
      </c>
      <c r="E448" s="21" t="s">
        <v>197</v>
      </c>
      <c r="F448" s="21" t="s">
        <v>191</v>
      </c>
      <c r="G448" s="43" t="s">
        <v>198</v>
      </c>
      <c r="H448" s="43" t="s">
        <v>41</v>
      </c>
      <c r="I448" s="43">
        <v>2</v>
      </c>
      <c r="J448" s="43">
        <v>208</v>
      </c>
      <c r="K448" s="43">
        <v>0</v>
      </c>
      <c r="L448" s="44">
        <v>45539</v>
      </c>
      <c r="M448" s="43" t="s">
        <v>24</v>
      </c>
      <c r="N448" s="43" t="s">
        <v>25</v>
      </c>
      <c r="O448" s="43" t="s">
        <v>34</v>
      </c>
      <c r="P448" s="43">
        <v>3</v>
      </c>
      <c r="Q448" s="45">
        <v>416</v>
      </c>
      <c r="R448" s="45">
        <v>0</v>
      </c>
      <c r="S448" s="45">
        <v>416</v>
      </c>
    </row>
    <row r="449" spans="1:19" x14ac:dyDescent="0.3">
      <c r="A449" s="21">
        <v>10448</v>
      </c>
      <c r="B449" s="21" t="s">
        <v>1110</v>
      </c>
      <c r="C449" s="21" t="s">
        <v>1750</v>
      </c>
      <c r="D449" s="21">
        <v>9582370515</v>
      </c>
      <c r="E449" s="21" t="s">
        <v>391</v>
      </c>
      <c r="F449" s="21" t="s">
        <v>90</v>
      </c>
      <c r="G449" s="43" t="s">
        <v>368</v>
      </c>
      <c r="H449" s="43" t="s">
        <v>22</v>
      </c>
      <c r="I449" s="43">
        <v>4</v>
      </c>
      <c r="J449" s="43">
        <v>2080</v>
      </c>
      <c r="K449" s="43">
        <v>10</v>
      </c>
      <c r="L449" s="44">
        <v>45333</v>
      </c>
      <c r="M449" s="43" t="s">
        <v>43</v>
      </c>
      <c r="N449" s="43" t="s">
        <v>25</v>
      </c>
      <c r="O449" s="43" t="s">
        <v>34</v>
      </c>
      <c r="P449" s="43" t="s">
        <v>1813</v>
      </c>
      <c r="Q449" s="45">
        <v>8320</v>
      </c>
      <c r="R449" s="45">
        <v>832</v>
      </c>
      <c r="S449" s="45">
        <v>7488</v>
      </c>
    </row>
    <row r="450" spans="1:19" x14ac:dyDescent="0.3">
      <c r="A450" s="21">
        <v>10449</v>
      </c>
      <c r="B450" s="21" t="s">
        <v>644</v>
      </c>
      <c r="C450" s="21" t="s">
        <v>1733</v>
      </c>
      <c r="D450" s="21">
        <v>9955275089</v>
      </c>
      <c r="E450" s="21" t="s">
        <v>38</v>
      </c>
      <c r="F450" s="21" t="s">
        <v>429</v>
      </c>
      <c r="G450" s="43" t="s">
        <v>368</v>
      </c>
      <c r="H450" s="43" t="s">
        <v>22</v>
      </c>
      <c r="I450" s="43">
        <v>1</v>
      </c>
      <c r="J450" s="43">
        <v>1364</v>
      </c>
      <c r="K450" s="43">
        <v>0</v>
      </c>
      <c r="L450" s="44">
        <v>45516</v>
      </c>
      <c r="M450" s="43" t="s">
        <v>69</v>
      </c>
      <c r="N450" s="43" t="s">
        <v>119</v>
      </c>
      <c r="O450" s="43" t="s">
        <v>174</v>
      </c>
      <c r="P450" s="43">
        <v>1</v>
      </c>
      <c r="Q450" s="45">
        <v>1364</v>
      </c>
      <c r="R450" s="45">
        <v>0</v>
      </c>
      <c r="S450" s="45">
        <v>1364</v>
      </c>
    </row>
    <row r="451" spans="1:19" x14ac:dyDescent="0.3">
      <c r="A451" s="21">
        <v>10450</v>
      </c>
      <c r="B451" s="21" t="s">
        <v>1297</v>
      </c>
      <c r="C451" s="21" t="s">
        <v>1579</v>
      </c>
      <c r="D451" s="21">
        <v>9307166098</v>
      </c>
      <c r="E451" s="21" t="s">
        <v>343</v>
      </c>
      <c r="F451" s="21" t="s">
        <v>50</v>
      </c>
      <c r="G451" s="43" t="s">
        <v>99</v>
      </c>
      <c r="H451" s="43" t="s">
        <v>92</v>
      </c>
      <c r="I451" s="43">
        <v>2</v>
      </c>
      <c r="J451" s="43">
        <v>2297</v>
      </c>
      <c r="K451" s="43">
        <v>10</v>
      </c>
      <c r="L451" s="44">
        <v>45377</v>
      </c>
      <c r="M451" s="43" t="s">
        <v>69</v>
      </c>
      <c r="N451" s="43" t="s">
        <v>25</v>
      </c>
      <c r="O451" s="43" t="s">
        <v>174</v>
      </c>
      <c r="P451" s="43">
        <v>3</v>
      </c>
      <c r="Q451" s="45">
        <v>4594</v>
      </c>
      <c r="R451" s="45">
        <v>459.4</v>
      </c>
      <c r="S451" s="45">
        <v>4134.6000000000004</v>
      </c>
    </row>
    <row r="452" spans="1:19" x14ac:dyDescent="0.3">
      <c r="A452" s="21">
        <v>10451</v>
      </c>
      <c r="B452" s="21" t="s">
        <v>345</v>
      </c>
      <c r="C452" s="21" t="s">
        <v>1687</v>
      </c>
      <c r="D452" s="21">
        <v>9927628283</v>
      </c>
      <c r="E452" s="21" t="s">
        <v>219</v>
      </c>
      <c r="F452" s="21" t="s">
        <v>150</v>
      </c>
      <c r="G452" s="43" t="s">
        <v>155</v>
      </c>
      <c r="H452" s="43" t="s">
        <v>92</v>
      </c>
      <c r="I452" s="43">
        <v>3</v>
      </c>
      <c r="J452" s="43">
        <v>1279</v>
      </c>
      <c r="K452" s="43">
        <v>5</v>
      </c>
      <c r="L452" s="44">
        <v>45597</v>
      </c>
      <c r="M452" s="43" t="s">
        <v>1649</v>
      </c>
      <c r="N452" s="43" t="s">
        <v>25</v>
      </c>
      <c r="O452" s="43" t="s">
        <v>1641</v>
      </c>
      <c r="P452" s="43">
        <v>3</v>
      </c>
      <c r="Q452" s="45">
        <v>3837</v>
      </c>
      <c r="R452" s="45">
        <v>191.85</v>
      </c>
      <c r="S452" s="45">
        <v>3645.15</v>
      </c>
    </row>
    <row r="453" spans="1:19" x14ac:dyDescent="0.3">
      <c r="A453" s="21">
        <v>10452</v>
      </c>
      <c r="B453" s="21" t="s">
        <v>1014</v>
      </c>
      <c r="C453" s="21" t="s">
        <v>1713</v>
      </c>
      <c r="D453" s="21">
        <v>9273427348</v>
      </c>
      <c r="E453" s="21" t="s">
        <v>279</v>
      </c>
      <c r="F453" s="21" t="s">
        <v>259</v>
      </c>
      <c r="G453" s="43" t="s">
        <v>106</v>
      </c>
      <c r="H453" s="43" t="s">
        <v>83</v>
      </c>
      <c r="I453" s="43">
        <v>3</v>
      </c>
      <c r="J453" s="43">
        <v>7501</v>
      </c>
      <c r="K453" s="43">
        <v>5</v>
      </c>
      <c r="L453" s="44">
        <v>45622</v>
      </c>
      <c r="M453" s="43" t="s">
        <v>1646</v>
      </c>
      <c r="N453" s="43" t="s">
        <v>25</v>
      </c>
      <c r="O453" s="43" t="s">
        <v>45</v>
      </c>
      <c r="P453" s="43">
        <v>2</v>
      </c>
      <c r="Q453" s="45">
        <v>22503</v>
      </c>
      <c r="R453" s="45">
        <v>1125.1500000000001</v>
      </c>
      <c r="S453" s="45">
        <v>21377.85</v>
      </c>
    </row>
    <row r="454" spans="1:19" x14ac:dyDescent="0.3">
      <c r="A454" s="21">
        <v>10453</v>
      </c>
      <c r="B454" s="21" t="s">
        <v>574</v>
      </c>
      <c r="C454" s="21" t="s">
        <v>1708</v>
      </c>
      <c r="D454" s="21" t="s">
        <v>1812</v>
      </c>
      <c r="E454" s="21" t="s">
        <v>111</v>
      </c>
      <c r="F454" s="21" t="s">
        <v>111</v>
      </c>
      <c r="G454" s="43" t="s">
        <v>99</v>
      </c>
      <c r="H454" s="43" t="s">
        <v>92</v>
      </c>
      <c r="I454" s="43">
        <v>3</v>
      </c>
      <c r="J454" s="43">
        <v>3699</v>
      </c>
      <c r="K454" s="43">
        <v>0</v>
      </c>
      <c r="L454" s="44">
        <v>45293</v>
      </c>
      <c r="M454" s="43" t="s">
        <v>69</v>
      </c>
      <c r="N454" s="43" t="s">
        <v>25</v>
      </c>
      <c r="O454" s="43" t="s">
        <v>71</v>
      </c>
      <c r="P454" s="43">
        <v>5</v>
      </c>
      <c r="Q454" s="45">
        <v>11097</v>
      </c>
      <c r="R454" s="45">
        <v>0</v>
      </c>
      <c r="S454" s="45">
        <v>11097</v>
      </c>
    </row>
    <row r="455" spans="1:19" x14ac:dyDescent="0.3">
      <c r="A455" s="21">
        <v>10454</v>
      </c>
      <c r="B455" s="21" t="s">
        <v>314</v>
      </c>
      <c r="C455" s="21" t="s">
        <v>1682</v>
      </c>
      <c r="D455" s="21">
        <v>9663174080</v>
      </c>
      <c r="E455" s="21" t="s">
        <v>219</v>
      </c>
      <c r="F455" s="21" t="s">
        <v>150</v>
      </c>
      <c r="G455" s="43" t="s">
        <v>99</v>
      </c>
      <c r="H455" s="43" t="s">
        <v>92</v>
      </c>
      <c r="I455" s="43">
        <v>5</v>
      </c>
      <c r="J455" s="43">
        <v>4304</v>
      </c>
      <c r="K455" s="43">
        <v>20</v>
      </c>
      <c r="L455" s="44">
        <v>45557</v>
      </c>
      <c r="M455" s="43" t="s">
        <v>1646</v>
      </c>
      <c r="N455" s="43" t="s">
        <v>25</v>
      </c>
      <c r="O455" s="43" t="s">
        <v>34</v>
      </c>
      <c r="P455" s="43">
        <v>2</v>
      </c>
      <c r="Q455" s="45">
        <v>21520</v>
      </c>
      <c r="R455" s="45">
        <v>4304</v>
      </c>
      <c r="S455" s="45">
        <v>17216</v>
      </c>
    </row>
    <row r="456" spans="1:19" x14ac:dyDescent="0.3">
      <c r="A456" s="21">
        <v>10455</v>
      </c>
      <c r="B456" s="21" t="s">
        <v>95</v>
      </c>
      <c r="C456" s="21" t="s">
        <v>1648</v>
      </c>
      <c r="D456" s="21">
        <v>9268012518</v>
      </c>
      <c r="E456" s="21" t="s">
        <v>219</v>
      </c>
      <c r="F456" s="21" t="s">
        <v>150</v>
      </c>
      <c r="G456" s="43" t="s">
        <v>280</v>
      </c>
      <c r="H456" s="43" t="s">
        <v>41</v>
      </c>
      <c r="I456" s="43">
        <v>1</v>
      </c>
      <c r="J456" s="43">
        <v>186</v>
      </c>
      <c r="K456" s="43">
        <v>10</v>
      </c>
      <c r="L456" s="44">
        <v>45608</v>
      </c>
      <c r="M456" s="43" t="s">
        <v>43</v>
      </c>
      <c r="N456" s="43" t="s">
        <v>25</v>
      </c>
      <c r="O456" s="43" t="s">
        <v>71</v>
      </c>
      <c r="P456" s="43">
        <v>3</v>
      </c>
      <c r="Q456" s="45">
        <v>186</v>
      </c>
      <c r="R456" s="45">
        <v>18.600000000000001</v>
      </c>
      <c r="S456" s="45">
        <v>167.4</v>
      </c>
    </row>
    <row r="457" spans="1:19" x14ac:dyDescent="0.3">
      <c r="A457" s="21">
        <v>10456</v>
      </c>
      <c r="B457" s="21" t="s">
        <v>1093</v>
      </c>
      <c r="C457" s="21" t="s">
        <v>1734</v>
      </c>
      <c r="D457" s="21">
        <v>9182232424</v>
      </c>
      <c r="E457" s="21" t="s">
        <v>371</v>
      </c>
      <c r="F457" s="21" t="s">
        <v>98</v>
      </c>
      <c r="G457" s="43" t="s">
        <v>106</v>
      </c>
      <c r="H457" s="43" t="s">
        <v>83</v>
      </c>
      <c r="I457" s="43">
        <v>1</v>
      </c>
      <c r="J457" s="43">
        <v>12188</v>
      </c>
      <c r="K457" s="43">
        <v>20</v>
      </c>
      <c r="L457" s="44">
        <v>45298</v>
      </c>
      <c r="M457" s="43" t="s">
        <v>24</v>
      </c>
      <c r="N457" s="43" t="s">
        <v>25</v>
      </c>
      <c r="O457" s="43" t="s">
        <v>53</v>
      </c>
      <c r="P457" s="43">
        <v>4</v>
      </c>
      <c r="Q457" s="45">
        <v>12188</v>
      </c>
      <c r="R457" s="45">
        <v>2437.6</v>
      </c>
      <c r="S457" s="45">
        <v>9750.4</v>
      </c>
    </row>
    <row r="458" spans="1:19" x14ac:dyDescent="0.3">
      <c r="A458" s="21">
        <v>10457</v>
      </c>
      <c r="B458" s="21" t="s">
        <v>1121</v>
      </c>
      <c r="C458" s="21" t="s">
        <v>1645</v>
      </c>
      <c r="D458" s="21">
        <v>9214868289</v>
      </c>
      <c r="E458" s="21" t="s">
        <v>273</v>
      </c>
      <c r="F458" s="21" t="s">
        <v>50</v>
      </c>
      <c r="G458" s="43" t="s">
        <v>106</v>
      </c>
      <c r="H458" s="43" t="s">
        <v>83</v>
      </c>
      <c r="I458" s="43">
        <v>5</v>
      </c>
      <c r="J458" s="43">
        <v>8161</v>
      </c>
      <c r="K458" s="43">
        <v>0</v>
      </c>
      <c r="L458" s="44">
        <v>45389</v>
      </c>
      <c r="M458" s="43" t="s">
        <v>24</v>
      </c>
      <c r="N458" s="43" t="s">
        <v>25</v>
      </c>
      <c r="O458" s="43" t="s">
        <v>34</v>
      </c>
      <c r="P458" s="43">
        <v>1</v>
      </c>
      <c r="Q458" s="45">
        <v>40805</v>
      </c>
      <c r="R458" s="45">
        <v>0</v>
      </c>
      <c r="S458" s="45">
        <v>40805</v>
      </c>
    </row>
    <row r="459" spans="1:19" x14ac:dyDescent="0.3">
      <c r="A459" s="21">
        <v>10458</v>
      </c>
      <c r="B459" s="21" t="s">
        <v>1697</v>
      </c>
      <c r="C459" s="21" t="s">
        <v>1698</v>
      </c>
      <c r="D459" s="21">
        <v>9120464416</v>
      </c>
      <c r="E459" s="21" t="s">
        <v>343</v>
      </c>
      <c r="F459" s="21" t="s">
        <v>50</v>
      </c>
      <c r="G459" s="43" t="s">
        <v>99</v>
      </c>
      <c r="H459" s="43" t="s">
        <v>92</v>
      </c>
      <c r="I459" s="43">
        <v>3</v>
      </c>
      <c r="J459" s="43">
        <v>2905</v>
      </c>
      <c r="K459" s="43">
        <v>0</v>
      </c>
      <c r="L459" s="44">
        <v>45302</v>
      </c>
      <c r="M459" s="43" t="s">
        <v>43</v>
      </c>
      <c r="N459" s="43" t="s">
        <v>25</v>
      </c>
      <c r="O459" s="43" t="s">
        <v>45</v>
      </c>
      <c r="P459" s="43">
        <v>5</v>
      </c>
      <c r="Q459" s="45">
        <v>8715</v>
      </c>
      <c r="R459" s="45">
        <v>0</v>
      </c>
      <c r="S459" s="45">
        <v>8715</v>
      </c>
    </row>
    <row r="460" spans="1:19" x14ac:dyDescent="0.3">
      <c r="A460" s="21">
        <v>10459</v>
      </c>
      <c r="B460" s="21" t="s">
        <v>35</v>
      </c>
      <c r="C460" s="21" t="s">
        <v>1283</v>
      </c>
      <c r="D460" s="21" t="s">
        <v>1812</v>
      </c>
      <c r="E460" s="21" t="s">
        <v>38</v>
      </c>
      <c r="F460" s="21" t="s">
        <v>429</v>
      </c>
      <c r="G460" s="43" t="s">
        <v>280</v>
      </c>
      <c r="H460" s="43" t="s">
        <v>41</v>
      </c>
      <c r="I460" s="43">
        <v>5</v>
      </c>
      <c r="J460" s="43">
        <v>143</v>
      </c>
      <c r="K460" s="43">
        <v>20</v>
      </c>
      <c r="L460" s="44">
        <v>45591</v>
      </c>
      <c r="M460" s="43" t="s">
        <v>43</v>
      </c>
      <c r="N460" s="43" t="s">
        <v>456</v>
      </c>
      <c r="O460" s="43" t="s">
        <v>45</v>
      </c>
      <c r="P460" s="43">
        <v>2</v>
      </c>
      <c r="Q460" s="45">
        <v>715</v>
      </c>
      <c r="R460" s="45">
        <v>143</v>
      </c>
      <c r="S460" s="45">
        <v>572</v>
      </c>
    </row>
    <row r="461" spans="1:19" x14ac:dyDescent="0.3">
      <c r="A461" s="21">
        <v>10460</v>
      </c>
      <c r="B461" s="21" t="s">
        <v>290</v>
      </c>
      <c r="C461" s="21" t="s">
        <v>1645</v>
      </c>
      <c r="D461" s="21">
        <v>9935431932</v>
      </c>
      <c r="E461" s="21" t="s">
        <v>172</v>
      </c>
      <c r="F461" s="21" t="s">
        <v>150</v>
      </c>
      <c r="G461" s="43" t="s">
        <v>21</v>
      </c>
      <c r="H461" s="43" t="s">
        <v>22</v>
      </c>
      <c r="I461" s="43">
        <v>3</v>
      </c>
      <c r="J461" s="43">
        <v>1095</v>
      </c>
      <c r="K461" s="43">
        <v>0</v>
      </c>
      <c r="L461" s="44">
        <v>45407</v>
      </c>
      <c r="M461" s="43" t="s">
        <v>1646</v>
      </c>
      <c r="N461" s="43" t="s">
        <v>25</v>
      </c>
      <c r="O461" s="43" t="s">
        <v>45</v>
      </c>
      <c r="P461" s="43">
        <v>1</v>
      </c>
      <c r="Q461" s="45">
        <v>3285</v>
      </c>
      <c r="R461" s="45">
        <v>0</v>
      </c>
      <c r="S461" s="45">
        <v>3285</v>
      </c>
    </row>
    <row r="462" spans="1:19" x14ac:dyDescent="0.3">
      <c r="A462" s="21">
        <v>10461</v>
      </c>
      <c r="B462" s="21" t="s">
        <v>631</v>
      </c>
      <c r="C462" s="21" t="s">
        <v>1731</v>
      </c>
      <c r="D462" s="21">
        <v>9618530679</v>
      </c>
      <c r="E462" s="21" t="s">
        <v>197</v>
      </c>
      <c r="F462" s="21" t="s">
        <v>191</v>
      </c>
      <c r="G462" s="43" t="s">
        <v>106</v>
      </c>
      <c r="H462" s="43" t="s">
        <v>83</v>
      </c>
      <c r="I462" s="43">
        <v>2</v>
      </c>
      <c r="J462" s="43">
        <v>12661</v>
      </c>
      <c r="K462" s="43">
        <v>10</v>
      </c>
      <c r="L462" s="44">
        <v>45439</v>
      </c>
      <c r="M462" s="43" t="s">
        <v>1646</v>
      </c>
      <c r="N462" s="43" t="s">
        <v>25</v>
      </c>
      <c r="O462" s="43" t="s">
        <v>53</v>
      </c>
      <c r="P462" s="43">
        <v>4</v>
      </c>
      <c r="Q462" s="45">
        <v>25322</v>
      </c>
      <c r="R462" s="45">
        <v>2532.1999999999998</v>
      </c>
      <c r="S462" s="45">
        <v>22789.8</v>
      </c>
    </row>
    <row r="463" spans="1:19" x14ac:dyDescent="0.3">
      <c r="A463" s="21">
        <v>10462</v>
      </c>
      <c r="B463" s="21" t="s">
        <v>1093</v>
      </c>
      <c r="C463" s="21" t="s">
        <v>1734</v>
      </c>
      <c r="D463" s="21">
        <v>9185053035</v>
      </c>
      <c r="E463" s="21" t="s">
        <v>38</v>
      </c>
      <c r="F463" s="21" t="s">
        <v>429</v>
      </c>
      <c r="G463" s="43" t="s">
        <v>280</v>
      </c>
      <c r="H463" s="43" t="s">
        <v>41</v>
      </c>
      <c r="I463" s="43">
        <v>5</v>
      </c>
      <c r="J463" s="43">
        <v>63</v>
      </c>
      <c r="K463" s="43">
        <v>20</v>
      </c>
      <c r="L463" s="44">
        <v>45501</v>
      </c>
      <c r="M463" s="43" t="s">
        <v>1649</v>
      </c>
      <c r="N463" s="43" t="s">
        <v>25</v>
      </c>
      <c r="O463" s="43" t="s">
        <v>34</v>
      </c>
      <c r="P463" s="43" t="s">
        <v>1813</v>
      </c>
      <c r="Q463" s="45">
        <v>315</v>
      </c>
      <c r="R463" s="45">
        <v>63</v>
      </c>
      <c r="S463" s="45">
        <v>252</v>
      </c>
    </row>
    <row r="464" spans="1:19" x14ac:dyDescent="0.3">
      <c r="A464" s="21">
        <v>10463</v>
      </c>
      <c r="B464" s="21" t="s">
        <v>906</v>
      </c>
      <c r="C464" s="21" t="s">
        <v>1765</v>
      </c>
      <c r="D464" s="21">
        <v>9208728883</v>
      </c>
      <c r="E464" s="21" t="s">
        <v>343</v>
      </c>
      <c r="F464" s="21" t="s">
        <v>50</v>
      </c>
      <c r="G464" s="43" t="s">
        <v>151</v>
      </c>
      <c r="H464" s="43" t="s">
        <v>143</v>
      </c>
      <c r="I464" s="43">
        <v>3</v>
      </c>
      <c r="J464" s="43">
        <v>483</v>
      </c>
      <c r="K464" s="43">
        <v>0</v>
      </c>
      <c r="L464" s="44">
        <v>45328</v>
      </c>
      <c r="M464" s="43" t="s">
        <v>43</v>
      </c>
      <c r="N464" s="43" t="s">
        <v>25</v>
      </c>
      <c r="O464" s="43" t="s">
        <v>34</v>
      </c>
      <c r="P464" s="43">
        <v>4</v>
      </c>
      <c r="Q464" s="45">
        <v>1449</v>
      </c>
      <c r="R464" s="45">
        <v>0</v>
      </c>
      <c r="S464" s="45">
        <v>1449</v>
      </c>
    </row>
    <row r="465" spans="1:19" x14ac:dyDescent="0.3">
      <c r="A465" s="21">
        <v>10464</v>
      </c>
      <c r="B465" s="21" t="s">
        <v>438</v>
      </c>
      <c r="C465" s="21" t="s">
        <v>1738</v>
      </c>
      <c r="D465" s="21">
        <v>9764047272</v>
      </c>
      <c r="E465" s="21" t="s">
        <v>197</v>
      </c>
      <c r="F465" s="21" t="s">
        <v>191</v>
      </c>
      <c r="G465" s="43" t="s">
        <v>368</v>
      </c>
      <c r="H465" s="43" t="s">
        <v>22</v>
      </c>
      <c r="I465" s="43">
        <v>1</v>
      </c>
      <c r="J465" s="43">
        <v>809</v>
      </c>
      <c r="K465" s="43">
        <v>5</v>
      </c>
      <c r="L465" s="44">
        <v>45601</v>
      </c>
      <c r="M465" s="43" t="s">
        <v>69</v>
      </c>
      <c r="N465" s="43" t="s">
        <v>25</v>
      </c>
      <c r="O465" s="43" t="s">
        <v>71</v>
      </c>
      <c r="P465" s="43">
        <v>2</v>
      </c>
      <c r="Q465" s="45">
        <v>809</v>
      </c>
      <c r="R465" s="45">
        <v>40.450000000000003</v>
      </c>
      <c r="S465" s="45">
        <v>768.55</v>
      </c>
    </row>
    <row r="466" spans="1:19" x14ac:dyDescent="0.3">
      <c r="A466" s="21">
        <v>10465</v>
      </c>
      <c r="B466" s="21" t="s">
        <v>1133</v>
      </c>
      <c r="C466" s="21" t="s">
        <v>1783</v>
      </c>
      <c r="D466" s="21">
        <v>9713231127</v>
      </c>
      <c r="E466" s="21" t="s">
        <v>273</v>
      </c>
      <c r="F466" s="21" t="s">
        <v>50</v>
      </c>
      <c r="G466" s="43" t="s">
        <v>231</v>
      </c>
      <c r="H466" s="43" t="s">
        <v>83</v>
      </c>
      <c r="I466" s="43">
        <v>4</v>
      </c>
      <c r="J466" s="43">
        <v>4169</v>
      </c>
      <c r="K466" s="43">
        <v>0</v>
      </c>
      <c r="L466" s="44">
        <v>45296</v>
      </c>
      <c r="M466" s="43" t="s">
        <v>24</v>
      </c>
      <c r="N466" s="43" t="s">
        <v>25</v>
      </c>
      <c r="O466" s="43" t="s">
        <v>45</v>
      </c>
      <c r="P466" s="43">
        <v>1</v>
      </c>
      <c r="Q466" s="45">
        <v>16676</v>
      </c>
      <c r="R466" s="45">
        <v>0</v>
      </c>
      <c r="S466" s="45">
        <v>16676</v>
      </c>
    </row>
    <row r="467" spans="1:19" x14ac:dyDescent="0.3">
      <c r="A467" s="21">
        <v>10466</v>
      </c>
      <c r="B467" s="21" t="s">
        <v>255</v>
      </c>
      <c r="C467" s="21" t="s">
        <v>1674</v>
      </c>
      <c r="D467" s="21">
        <v>9658498269</v>
      </c>
      <c r="E467" s="21" t="s">
        <v>74</v>
      </c>
      <c r="F467" s="21" t="s">
        <v>75</v>
      </c>
      <c r="G467" s="43" t="s">
        <v>161</v>
      </c>
      <c r="H467" s="43" t="s">
        <v>83</v>
      </c>
      <c r="I467" s="43">
        <v>2</v>
      </c>
      <c r="J467" s="43">
        <v>23161</v>
      </c>
      <c r="K467" s="43">
        <v>0</v>
      </c>
      <c r="L467" s="44">
        <v>45369</v>
      </c>
      <c r="M467" s="43" t="s">
        <v>24</v>
      </c>
      <c r="N467" s="43" t="s">
        <v>25</v>
      </c>
      <c r="O467" s="43" t="s">
        <v>174</v>
      </c>
      <c r="P467" s="43" t="s">
        <v>1813</v>
      </c>
      <c r="Q467" s="45">
        <v>46322</v>
      </c>
      <c r="R467" s="45">
        <v>0</v>
      </c>
      <c r="S467" s="45">
        <v>46322</v>
      </c>
    </row>
    <row r="468" spans="1:19" x14ac:dyDescent="0.3">
      <c r="A468" s="21">
        <v>10467</v>
      </c>
      <c r="B468" s="21" t="s">
        <v>849</v>
      </c>
      <c r="C468" s="21" t="s">
        <v>1645</v>
      </c>
      <c r="D468" s="21">
        <v>9893061968</v>
      </c>
      <c r="E468" s="21" t="s">
        <v>197</v>
      </c>
      <c r="F468" s="21" t="s">
        <v>191</v>
      </c>
      <c r="G468" s="43" t="s">
        <v>112</v>
      </c>
      <c r="H468" s="43" t="s">
        <v>83</v>
      </c>
      <c r="I468" s="43">
        <v>2</v>
      </c>
      <c r="J468" s="43">
        <v>15588</v>
      </c>
      <c r="K468" s="43">
        <v>0</v>
      </c>
      <c r="L468" s="44">
        <v>45429</v>
      </c>
      <c r="M468" s="43" t="s">
        <v>1646</v>
      </c>
      <c r="N468" s="43" t="s">
        <v>25</v>
      </c>
      <c r="O468" s="43" t="s">
        <v>53</v>
      </c>
      <c r="P468" s="43">
        <v>4</v>
      </c>
      <c r="Q468" s="45">
        <v>31176</v>
      </c>
      <c r="R468" s="45">
        <v>0</v>
      </c>
      <c r="S468" s="45">
        <v>31176</v>
      </c>
    </row>
    <row r="469" spans="1:19" x14ac:dyDescent="0.3">
      <c r="A469" s="21">
        <v>10468</v>
      </c>
      <c r="B469" s="21" t="s">
        <v>1477</v>
      </c>
      <c r="C469" s="21" t="s">
        <v>1779</v>
      </c>
      <c r="D469" s="21">
        <v>9920543357</v>
      </c>
      <c r="E469" s="21" t="s">
        <v>273</v>
      </c>
      <c r="F469" s="21" t="s">
        <v>50</v>
      </c>
      <c r="G469" s="43" t="s">
        <v>106</v>
      </c>
      <c r="H469" s="43" t="s">
        <v>83</v>
      </c>
      <c r="I469" s="43">
        <v>3</v>
      </c>
      <c r="J469" s="43">
        <v>14897</v>
      </c>
      <c r="K469" s="43">
        <v>15</v>
      </c>
      <c r="L469" s="44">
        <v>45326</v>
      </c>
      <c r="M469" s="43" t="s">
        <v>43</v>
      </c>
      <c r="N469" s="43" t="s">
        <v>25</v>
      </c>
      <c r="O469" s="43" t="s">
        <v>71</v>
      </c>
      <c r="P469" s="43">
        <v>3</v>
      </c>
      <c r="Q469" s="45">
        <v>44691</v>
      </c>
      <c r="R469" s="45">
        <v>6703.65</v>
      </c>
      <c r="S469" s="45">
        <v>37987.35</v>
      </c>
    </row>
    <row r="470" spans="1:19" x14ac:dyDescent="0.3">
      <c r="A470" s="21">
        <v>10469</v>
      </c>
      <c r="B470" s="21" t="s">
        <v>1215</v>
      </c>
      <c r="C470" s="21" t="s">
        <v>1792</v>
      </c>
      <c r="D470" s="21">
        <v>9580326330</v>
      </c>
      <c r="E470" s="21" t="s">
        <v>343</v>
      </c>
      <c r="F470" s="21" t="s">
        <v>50</v>
      </c>
      <c r="G470" s="43" t="s">
        <v>155</v>
      </c>
      <c r="H470" s="43" t="s">
        <v>92</v>
      </c>
      <c r="I470" s="43">
        <v>2</v>
      </c>
      <c r="J470" s="43">
        <v>849</v>
      </c>
      <c r="K470" s="43">
        <v>10</v>
      </c>
      <c r="L470" s="44">
        <v>45553</v>
      </c>
      <c r="M470" s="43" t="s">
        <v>1649</v>
      </c>
      <c r="N470" s="43" t="s">
        <v>25</v>
      </c>
      <c r="O470" s="43" t="s">
        <v>53</v>
      </c>
      <c r="P470" s="43">
        <v>1</v>
      </c>
      <c r="Q470" s="45">
        <v>1698</v>
      </c>
      <c r="R470" s="45">
        <v>169.8</v>
      </c>
      <c r="S470" s="45">
        <v>1528.2</v>
      </c>
    </row>
    <row r="471" spans="1:19" x14ac:dyDescent="0.3">
      <c r="A471" s="21">
        <v>10470</v>
      </c>
      <c r="B471" s="21" t="s">
        <v>674</v>
      </c>
      <c r="C471" s="21" t="s">
        <v>1737</v>
      </c>
      <c r="D471" s="21">
        <v>9312793303</v>
      </c>
      <c r="E471" s="21" t="s">
        <v>197</v>
      </c>
      <c r="F471" s="21" t="s">
        <v>191</v>
      </c>
      <c r="G471" s="43" t="s">
        <v>204</v>
      </c>
      <c r="H471" s="43" t="s">
        <v>143</v>
      </c>
      <c r="I471" s="43">
        <v>5</v>
      </c>
      <c r="J471" s="43">
        <v>513</v>
      </c>
      <c r="K471" s="43">
        <v>0</v>
      </c>
      <c r="L471" s="44">
        <v>45383</v>
      </c>
      <c r="M471" s="43" t="s">
        <v>69</v>
      </c>
      <c r="N471" s="43" t="s">
        <v>25</v>
      </c>
      <c r="O471" s="43" t="s">
        <v>174</v>
      </c>
      <c r="P471" s="43">
        <v>4</v>
      </c>
      <c r="Q471" s="45">
        <v>2565</v>
      </c>
      <c r="R471" s="45">
        <v>0</v>
      </c>
      <c r="S471" s="45">
        <v>2565</v>
      </c>
    </row>
    <row r="472" spans="1:19" x14ac:dyDescent="0.3">
      <c r="A472" s="21">
        <v>10471</v>
      </c>
      <c r="B472" s="21" t="s">
        <v>72</v>
      </c>
      <c r="C472" s="21" t="s">
        <v>1711</v>
      </c>
      <c r="D472" s="21">
        <v>9425248972</v>
      </c>
      <c r="E472" s="21" t="s">
        <v>197</v>
      </c>
      <c r="F472" s="21" t="s">
        <v>191</v>
      </c>
      <c r="G472" s="43" t="s">
        <v>155</v>
      </c>
      <c r="H472" s="43" t="s">
        <v>92</v>
      </c>
      <c r="I472" s="43">
        <v>1</v>
      </c>
      <c r="J472" s="43">
        <v>580</v>
      </c>
      <c r="K472" s="43">
        <v>15</v>
      </c>
      <c r="L472" s="44">
        <v>45581</v>
      </c>
      <c r="M472" s="43" t="s">
        <v>24</v>
      </c>
      <c r="N472" s="43" t="s">
        <v>456</v>
      </c>
      <c r="O472" s="43" t="s">
        <v>45</v>
      </c>
      <c r="P472" s="43">
        <v>2</v>
      </c>
      <c r="Q472" s="45">
        <v>580</v>
      </c>
      <c r="R472" s="45">
        <v>87</v>
      </c>
      <c r="S472" s="45">
        <v>493</v>
      </c>
    </row>
    <row r="473" spans="1:19" x14ac:dyDescent="0.3">
      <c r="A473" s="21">
        <v>10472</v>
      </c>
      <c r="B473" s="21" t="s">
        <v>765</v>
      </c>
      <c r="C473" s="21" t="s">
        <v>1645</v>
      </c>
      <c r="D473" s="21">
        <v>9820472833</v>
      </c>
      <c r="E473" s="21" t="s">
        <v>197</v>
      </c>
      <c r="F473" s="21" t="s">
        <v>191</v>
      </c>
      <c r="G473" s="43" t="s">
        <v>112</v>
      </c>
      <c r="H473" s="43" t="s">
        <v>83</v>
      </c>
      <c r="I473" s="43">
        <v>5</v>
      </c>
      <c r="J473" s="43">
        <v>29443</v>
      </c>
      <c r="K473" s="43">
        <v>0</v>
      </c>
      <c r="L473" s="44">
        <v>45303</v>
      </c>
      <c r="M473" s="43" t="s">
        <v>69</v>
      </c>
      <c r="N473" s="43" t="s">
        <v>25</v>
      </c>
      <c r="O473" s="43" t="s">
        <v>71</v>
      </c>
      <c r="P473" s="43" t="s">
        <v>1813</v>
      </c>
      <c r="Q473" s="45">
        <v>147215</v>
      </c>
      <c r="R473" s="45">
        <v>0</v>
      </c>
      <c r="S473" s="45">
        <v>147215</v>
      </c>
    </row>
    <row r="474" spans="1:19" x14ac:dyDescent="0.3">
      <c r="A474" s="21">
        <v>10473</v>
      </c>
      <c r="B474" s="21" t="s">
        <v>1655</v>
      </c>
      <c r="C474" s="21" t="s">
        <v>1656</v>
      </c>
      <c r="D474" s="21">
        <v>9845156469</v>
      </c>
      <c r="E474" s="21" t="s">
        <v>219</v>
      </c>
      <c r="F474" s="21" t="s">
        <v>150</v>
      </c>
      <c r="G474" s="43" t="s">
        <v>99</v>
      </c>
      <c r="H474" s="43" t="s">
        <v>92</v>
      </c>
      <c r="I474" s="43">
        <v>2</v>
      </c>
      <c r="J474" s="43">
        <v>3865</v>
      </c>
      <c r="K474" s="43">
        <v>20</v>
      </c>
      <c r="L474" s="44">
        <v>45426</v>
      </c>
      <c r="M474" s="43" t="s">
        <v>43</v>
      </c>
      <c r="N474" s="43" t="s">
        <v>25</v>
      </c>
      <c r="O474" s="43" t="s">
        <v>71</v>
      </c>
      <c r="P474" s="43">
        <v>2</v>
      </c>
      <c r="Q474" s="45">
        <v>7730</v>
      </c>
      <c r="R474" s="45">
        <v>1546</v>
      </c>
      <c r="S474" s="45">
        <v>6184</v>
      </c>
    </row>
    <row r="475" spans="1:19" x14ac:dyDescent="0.3">
      <c r="A475" s="21">
        <v>10474</v>
      </c>
      <c r="B475" s="21" t="s">
        <v>716</v>
      </c>
      <c r="C475" s="21" t="s">
        <v>1667</v>
      </c>
      <c r="D475" s="21">
        <v>9154418793</v>
      </c>
      <c r="E475" s="21" t="s">
        <v>219</v>
      </c>
      <c r="F475" s="21" t="s">
        <v>150</v>
      </c>
      <c r="G475" s="43" t="s">
        <v>112</v>
      </c>
      <c r="H475" s="43" t="s">
        <v>83</v>
      </c>
      <c r="I475" s="43">
        <v>3</v>
      </c>
      <c r="J475" s="43">
        <v>18770</v>
      </c>
      <c r="K475" s="43">
        <v>0</v>
      </c>
      <c r="L475" s="44">
        <v>45326</v>
      </c>
      <c r="M475" s="43" t="s">
        <v>69</v>
      </c>
      <c r="N475" s="43" t="s">
        <v>25</v>
      </c>
      <c r="O475" s="43" t="s">
        <v>53</v>
      </c>
      <c r="P475" s="43">
        <v>2</v>
      </c>
      <c r="Q475" s="45">
        <v>56310</v>
      </c>
      <c r="R475" s="45">
        <v>0</v>
      </c>
      <c r="S475" s="45">
        <v>56310</v>
      </c>
    </row>
    <row r="476" spans="1:19" x14ac:dyDescent="0.3">
      <c r="A476" s="21">
        <v>10475</v>
      </c>
      <c r="B476" s="21" t="s">
        <v>722</v>
      </c>
      <c r="C476" s="21" t="s">
        <v>1704</v>
      </c>
      <c r="D476" s="21">
        <v>9119825612</v>
      </c>
      <c r="E476" s="21" t="s">
        <v>172</v>
      </c>
      <c r="F476" s="21" t="s">
        <v>150</v>
      </c>
      <c r="G476" s="43" t="s">
        <v>179</v>
      </c>
      <c r="H476" s="43" t="s">
        <v>60</v>
      </c>
      <c r="I476" s="43">
        <v>2</v>
      </c>
      <c r="J476" s="43">
        <v>622</v>
      </c>
      <c r="K476" s="43">
        <v>10</v>
      </c>
      <c r="L476" s="44">
        <v>45465</v>
      </c>
      <c r="M476" s="43" t="s">
        <v>1649</v>
      </c>
      <c r="N476" s="43" t="s">
        <v>25</v>
      </c>
      <c r="O476" s="43" t="s">
        <v>53</v>
      </c>
      <c r="P476" s="43">
        <v>5</v>
      </c>
      <c r="Q476" s="45">
        <v>1244</v>
      </c>
      <c r="R476" s="45">
        <v>124.4</v>
      </c>
      <c r="S476" s="45">
        <v>1119.5999999999999</v>
      </c>
    </row>
    <row r="477" spans="1:19" x14ac:dyDescent="0.3">
      <c r="A477" s="21">
        <v>10476</v>
      </c>
      <c r="B477" s="21" t="s">
        <v>127</v>
      </c>
      <c r="C477" s="21" t="s">
        <v>128</v>
      </c>
      <c r="D477" s="21" t="s">
        <v>1812</v>
      </c>
      <c r="E477" s="21" t="s">
        <v>371</v>
      </c>
      <c r="F477" s="21" t="s">
        <v>98</v>
      </c>
      <c r="G477" s="43" t="s">
        <v>231</v>
      </c>
      <c r="H477" s="43" t="s">
        <v>83</v>
      </c>
      <c r="I477" s="43">
        <v>3</v>
      </c>
      <c r="J477" s="43">
        <v>2584</v>
      </c>
      <c r="K477" s="43">
        <v>15</v>
      </c>
      <c r="L477" s="44">
        <v>45528</v>
      </c>
      <c r="M477" s="43" t="s">
        <v>69</v>
      </c>
      <c r="N477" s="43" t="s">
        <v>25</v>
      </c>
      <c r="O477" s="43" t="s">
        <v>1641</v>
      </c>
      <c r="P477" s="43" t="s">
        <v>1813</v>
      </c>
      <c r="Q477" s="45">
        <v>7752</v>
      </c>
      <c r="R477" s="45">
        <v>1162.8</v>
      </c>
      <c r="S477" s="45">
        <v>6589.2</v>
      </c>
    </row>
    <row r="478" spans="1:19" x14ac:dyDescent="0.3">
      <c r="A478" s="21">
        <v>10477</v>
      </c>
      <c r="B478" s="21" t="s">
        <v>968</v>
      </c>
      <c r="C478" s="21" t="s">
        <v>1645</v>
      </c>
      <c r="D478" s="21">
        <v>9608647439</v>
      </c>
      <c r="E478" s="21" t="s">
        <v>74</v>
      </c>
      <c r="F478" s="21" t="s">
        <v>75</v>
      </c>
      <c r="G478" s="43" t="s">
        <v>161</v>
      </c>
      <c r="H478" s="43" t="s">
        <v>83</v>
      </c>
      <c r="I478" s="43">
        <v>1</v>
      </c>
      <c r="J478" s="43">
        <v>15686</v>
      </c>
      <c r="K478" s="43">
        <v>0</v>
      </c>
      <c r="L478" s="44">
        <v>45470</v>
      </c>
      <c r="M478" s="43" t="s">
        <v>1649</v>
      </c>
      <c r="N478" s="43" t="s">
        <v>25</v>
      </c>
      <c r="O478" s="43" t="s">
        <v>174</v>
      </c>
      <c r="P478" s="43">
        <v>5</v>
      </c>
      <c r="Q478" s="45">
        <v>15686</v>
      </c>
      <c r="R478" s="45">
        <v>0</v>
      </c>
      <c r="S478" s="45">
        <v>15686</v>
      </c>
    </row>
    <row r="479" spans="1:19" x14ac:dyDescent="0.3">
      <c r="A479" s="21">
        <v>10478</v>
      </c>
      <c r="B479" s="21" t="s">
        <v>574</v>
      </c>
      <c r="C479" s="21" t="s">
        <v>1645</v>
      </c>
      <c r="D479" s="21">
        <v>9785805442</v>
      </c>
      <c r="E479" s="21" t="s">
        <v>279</v>
      </c>
      <c r="F479" s="21" t="s">
        <v>259</v>
      </c>
      <c r="G479" s="43" t="s">
        <v>280</v>
      </c>
      <c r="H479" s="43" t="s">
        <v>41</v>
      </c>
      <c r="I479" s="43">
        <v>4</v>
      </c>
      <c r="J479" s="43">
        <v>165</v>
      </c>
      <c r="K479" s="43">
        <v>20</v>
      </c>
      <c r="L479" s="44">
        <v>45512</v>
      </c>
      <c r="M479" s="43" t="s">
        <v>24</v>
      </c>
      <c r="N479" s="43" t="s">
        <v>25</v>
      </c>
      <c r="O479" s="43" t="s">
        <v>1641</v>
      </c>
      <c r="P479" s="43">
        <v>1</v>
      </c>
      <c r="Q479" s="45">
        <v>660</v>
      </c>
      <c r="R479" s="45">
        <v>132</v>
      </c>
      <c r="S479" s="45">
        <v>528</v>
      </c>
    </row>
    <row r="480" spans="1:19" x14ac:dyDescent="0.3">
      <c r="A480" s="21">
        <v>10479</v>
      </c>
      <c r="B480" s="21" t="s">
        <v>722</v>
      </c>
      <c r="C480" s="21" t="s">
        <v>1645</v>
      </c>
      <c r="D480" s="21">
        <v>9675225172</v>
      </c>
      <c r="E480" s="21" t="s">
        <v>74</v>
      </c>
      <c r="F480" s="21" t="s">
        <v>75</v>
      </c>
      <c r="G480" s="43" t="s">
        <v>179</v>
      </c>
      <c r="H480" s="43" t="s">
        <v>60</v>
      </c>
      <c r="I480" s="43">
        <v>3</v>
      </c>
      <c r="J480" s="43">
        <v>640</v>
      </c>
      <c r="K480" s="43">
        <v>0</v>
      </c>
      <c r="L480" s="44">
        <v>45599</v>
      </c>
      <c r="M480" s="43" t="s">
        <v>43</v>
      </c>
      <c r="N480" s="43" t="s">
        <v>25</v>
      </c>
      <c r="O480" s="43" t="s">
        <v>71</v>
      </c>
      <c r="P480" s="43">
        <v>5</v>
      </c>
      <c r="Q480" s="45">
        <v>1920</v>
      </c>
      <c r="R480" s="45">
        <v>0</v>
      </c>
      <c r="S480" s="45">
        <v>1920</v>
      </c>
    </row>
    <row r="481" spans="1:19" x14ac:dyDescent="0.3">
      <c r="A481" s="21">
        <v>10480</v>
      </c>
      <c r="B481" s="21" t="s">
        <v>585</v>
      </c>
      <c r="C481" s="21" t="s">
        <v>1802</v>
      </c>
      <c r="D481" s="21" t="s">
        <v>1812</v>
      </c>
      <c r="E481" s="21" t="s">
        <v>197</v>
      </c>
      <c r="F481" s="21" t="s">
        <v>191</v>
      </c>
      <c r="G481" s="43" t="s">
        <v>161</v>
      </c>
      <c r="H481" s="43" t="s">
        <v>83</v>
      </c>
      <c r="I481" s="43">
        <v>3</v>
      </c>
      <c r="J481" s="43">
        <v>29641</v>
      </c>
      <c r="K481" s="43">
        <v>15</v>
      </c>
      <c r="L481" s="44">
        <v>45383</v>
      </c>
      <c r="M481" s="43" t="s">
        <v>24</v>
      </c>
      <c r="N481" s="43" t="s">
        <v>456</v>
      </c>
      <c r="O481" s="43" t="s">
        <v>34</v>
      </c>
      <c r="P481" s="43" t="s">
        <v>1813</v>
      </c>
      <c r="Q481" s="45">
        <v>88923</v>
      </c>
      <c r="R481" s="45">
        <v>13338.45</v>
      </c>
      <c r="S481" s="45">
        <v>75584.55</v>
      </c>
    </row>
    <row r="482" spans="1:19" x14ac:dyDescent="0.3">
      <c r="A482" s="21">
        <v>10481</v>
      </c>
      <c r="B482" s="21" t="s">
        <v>651</v>
      </c>
      <c r="C482" s="21" t="s">
        <v>1683</v>
      </c>
      <c r="D482" s="21" t="s">
        <v>1812</v>
      </c>
      <c r="E482" s="21" t="s">
        <v>172</v>
      </c>
      <c r="F482" s="21" t="s">
        <v>150</v>
      </c>
      <c r="G482" s="43" t="s">
        <v>179</v>
      </c>
      <c r="H482" s="43" t="s">
        <v>60</v>
      </c>
      <c r="I482" s="43">
        <v>3</v>
      </c>
      <c r="J482" s="43">
        <v>403</v>
      </c>
      <c r="K482" s="43">
        <v>5</v>
      </c>
      <c r="L482" s="44">
        <v>45314</v>
      </c>
      <c r="M482" s="43" t="s">
        <v>69</v>
      </c>
      <c r="N482" s="43" t="s">
        <v>25</v>
      </c>
      <c r="O482" s="43" t="s">
        <v>1641</v>
      </c>
      <c r="P482" s="43" t="s">
        <v>1813</v>
      </c>
      <c r="Q482" s="45">
        <v>1209</v>
      </c>
      <c r="R482" s="45">
        <v>60.45</v>
      </c>
      <c r="S482" s="45">
        <v>1148.55</v>
      </c>
    </row>
    <row r="483" spans="1:19" x14ac:dyDescent="0.3">
      <c r="A483" s="21">
        <v>10482</v>
      </c>
      <c r="B483" s="21" t="s">
        <v>379</v>
      </c>
      <c r="C483" s="21" t="s">
        <v>1690</v>
      </c>
      <c r="D483" s="21" t="s">
        <v>1812</v>
      </c>
      <c r="E483" s="21" t="s">
        <v>38</v>
      </c>
      <c r="F483" s="21" t="s">
        <v>429</v>
      </c>
      <c r="G483" s="43" t="s">
        <v>231</v>
      </c>
      <c r="H483" s="43" t="s">
        <v>83</v>
      </c>
      <c r="I483" s="43">
        <v>2</v>
      </c>
      <c r="J483" s="43">
        <v>2396</v>
      </c>
      <c r="K483" s="43">
        <v>20</v>
      </c>
      <c r="L483" s="44">
        <v>45364</v>
      </c>
      <c r="M483" s="43" t="s">
        <v>24</v>
      </c>
      <c r="N483" s="43" t="s">
        <v>25</v>
      </c>
      <c r="O483" s="43" t="s">
        <v>45</v>
      </c>
      <c r="P483" s="43" t="s">
        <v>1813</v>
      </c>
      <c r="Q483" s="45">
        <v>4792</v>
      </c>
      <c r="R483" s="45">
        <v>958.4</v>
      </c>
      <c r="S483" s="45">
        <v>3833.6</v>
      </c>
    </row>
    <row r="484" spans="1:19" x14ac:dyDescent="0.3">
      <c r="A484" s="21">
        <v>10483</v>
      </c>
      <c r="B484" s="21" t="s">
        <v>282</v>
      </c>
      <c r="C484" s="21" t="s">
        <v>1677</v>
      </c>
      <c r="D484" s="21">
        <v>9558861992</v>
      </c>
      <c r="E484" s="21" t="s">
        <v>279</v>
      </c>
      <c r="F484" s="21" t="s">
        <v>259</v>
      </c>
      <c r="G484" s="43" t="s">
        <v>112</v>
      </c>
      <c r="H484" s="43" t="s">
        <v>83</v>
      </c>
      <c r="I484" s="43">
        <v>2</v>
      </c>
      <c r="J484" s="43">
        <v>34339</v>
      </c>
      <c r="K484" s="43">
        <v>0</v>
      </c>
      <c r="L484" s="44">
        <v>45571</v>
      </c>
      <c r="M484" s="43" t="s">
        <v>1649</v>
      </c>
      <c r="N484" s="43" t="s">
        <v>119</v>
      </c>
      <c r="O484" s="43" t="s">
        <v>174</v>
      </c>
      <c r="P484" s="43">
        <v>3</v>
      </c>
      <c r="Q484" s="45">
        <v>68678</v>
      </c>
      <c r="R484" s="45">
        <v>0</v>
      </c>
      <c r="S484" s="45">
        <v>68678</v>
      </c>
    </row>
    <row r="485" spans="1:19" x14ac:dyDescent="0.3">
      <c r="A485" s="21">
        <v>10484</v>
      </c>
      <c r="B485" s="21" t="s">
        <v>414</v>
      </c>
      <c r="C485" s="21" t="s">
        <v>415</v>
      </c>
      <c r="D485" s="21">
        <v>9253404039</v>
      </c>
      <c r="E485" s="21" t="s">
        <v>391</v>
      </c>
      <c r="F485" s="21" t="s">
        <v>90</v>
      </c>
      <c r="G485" s="43" t="s">
        <v>411</v>
      </c>
      <c r="H485" s="43" t="s">
        <v>83</v>
      </c>
      <c r="I485" s="43">
        <v>4</v>
      </c>
      <c r="J485" s="43">
        <v>59452</v>
      </c>
      <c r="K485" s="43">
        <v>0</v>
      </c>
      <c r="L485" s="44">
        <v>45338</v>
      </c>
      <c r="M485" s="43" t="s">
        <v>43</v>
      </c>
      <c r="N485" s="43" t="s">
        <v>25</v>
      </c>
      <c r="O485" s="43" t="s">
        <v>34</v>
      </c>
      <c r="P485" s="43" t="s">
        <v>1813</v>
      </c>
      <c r="Q485" s="45">
        <v>237808</v>
      </c>
      <c r="R485" s="45">
        <v>0</v>
      </c>
      <c r="S485" s="45">
        <v>237808</v>
      </c>
    </row>
    <row r="486" spans="1:19" x14ac:dyDescent="0.3">
      <c r="A486" s="21">
        <v>10485</v>
      </c>
      <c r="B486" s="21" t="s">
        <v>1788</v>
      </c>
      <c r="C486" s="21" t="s">
        <v>1789</v>
      </c>
      <c r="D486" s="21">
        <v>9507356527</v>
      </c>
      <c r="E486" s="21" t="s">
        <v>197</v>
      </c>
      <c r="F486" s="21" t="s">
        <v>191</v>
      </c>
      <c r="G486" s="43" t="s">
        <v>280</v>
      </c>
      <c r="H486" s="43" t="s">
        <v>41</v>
      </c>
      <c r="I486" s="43">
        <v>5</v>
      </c>
      <c r="J486" s="43">
        <v>199</v>
      </c>
      <c r="K486" s="43">
        <v>0</v>
      </c>
      <c r="L486" s="44">
        <v>45362</v>
      </c>
      <c r="M486" s="43" t="s">
        <v>1649</v>
      </c>
      <c r="N486" s="43" t="s">
        <v>25</v>
      </c>
      <c r="O486" s="43" t="s">
        <v>45</v>
      </c>
      <c r="P486" s="43">
        <v>4</v>
      </c>
      <c r="Q486" s="45">
        <v>995</v>
      </c>
      <c r="R486" s="45">
        <v>0</v>
      </c>
      <c r="S486" s="45">
        <v>995</v>
      </c>
    </row>
    <row r="487" spans="1:19" x14ac:dyDescent="0.3">
      <c r="A487" s="21">
        <v>10486</v>
      </c>
      <c r="B487" s="21" t="s">
        <v>651</v>
      </c>
      <c r="C487" s="21" t="s">
        <v>1683</v>
      </c>
      <c r="D487" s="21">
        <v>9433368129</v>
      </c>
      <c r="E487" s="21" t="s">
        <v>343</v>
      </c>
      <c r="F487" s="21" t="s">
        <v>50</v>
      </c>
      <c r="G487" s="43" t="s">
        <v>151</v>
      </c>
      <c r="H487" s="43" t="s">
        <v>143</v>
      </c>
      <c r="I487" s="43">
        <v>4</v>
      </c>
      <c r="J487" s="43">
        <v>978</v>
      </c>
      <c r="K487" s="43">
        <v>0</v>
      </c>
      <c r="L487" s="44">
        <v>45464</v>
      </c>
      <c r="M487" s="43" t="s">
        <v>1649</v>
      </c>
      <c r="N487" s="43" t="s">
        <v>119</v>
      </c>
      <c r="O487" s="43" t="s">
        <v>174</v>
      </c>
      <c r="P487" s="43">
        <v>2</v>
      </c>
      <c r="Q487" s="45">
        <v>3912</v>
      </c>
      <c r="R487" s="45">
        <v>0</v>
      </c>
      <c r="S487" s="45">
        <v>3912</v>
      </c>
    </row>
    <row r="488" spans="1:19" x14ac:dyDescent="0.3">
      <c r="A488" s="21">
        <v>10487</v>
      </c>
      <c r="B488" s="21" t="s">
        <v>1655</v>
      </c>
      <c r="C488" s="21" t="s">
        <v>1656</v>
      </c>
      <c r="D488" s="21" t="s">
        <v>1812</v>
      </c>
      <c r="E488" s="21" t="s">
        <v>371</v>
      </c>
      <c r="F488" s="21" t="s">
        <v>98</v>
      </c>
      <c r="G488" s="43" t="s">
        <v>204</v>
      </c>
      <c r="H488" s="43" t="s">
        <v>143</v>
      </c>
      <c r="I488" s="43">
        <v>2</v>
      </c>
      <c r="J488" s="43">
        <v>305</v>
      </c>
      <c r="K488" s="43">
        <v>20</v>
      </c>
      <c r="L488" s="44">
        <v>45480</v>
      </c>
      <c r="M488" s="43" t="s">
        <v>69</v>
      </c>
      <c r="N488" s="43" t="s">
        <v>25</v>
      </c>
      <c r="O488" s="43" t="s">
        <v>53</v>
      </c>
      <c r="P488" s="43">
        <v>3</v>
      </c>
      <c r="Q488" s="45">
        <v>610</v>
      </c>
      <c r="R488" s="45">
        <v>122</v>
      </c>
      <c r="S488" s="45">
        <v>488</v>
      </c>
    </row>
    <row r="489" spans="1:19" x14ac:dyDescent="0.3">
      <c r="A489" s="21">
        <v>10488</v>
      </c>
      <c r="B489" s="21" t="s">
        <v>72</v>
      </c>
      <c r="C489" s="21" t="s">
        <v>502</v>
      </c>
      <c r="D489" s="21">
        <v>9100770407</v>
      </c>
      <c r="E489" s="21" t="s">
        <v>111</v>
      </c>
      <c r="F489" s="21" t="s">
        <v>111</v>
      </c>
      <c r="G489" s="43" t="s">
        <v>368</v>
      </c>
      <c r="H489" s="43" t="s">
        <v>22</v>
      </c>
      <c r="I489" s="43">
        <v>3</v>
      </c>
      <c r="J489" s="43">
        <v>1076</v>
      </c>
      <c r="K489" s="43">
        <v>0</v>
      </c>
      <c r="L489" s="44">
        <v>45541</v>
      </c>
      <c r="M489" s="43" t="s">
        <v>69</v>
      </c>
      <c r="N489" s="43" t="s">
        <v>456</v>
      </c>
      <c r="O489" s="43" t="s">
        <v>34</v>
      </c>
      <c r="P489" s="43">
        <v>2</v>
      </c>
      <c r="Q489" s="45">
        <v>3228</v>
      </c>
      <c r="R489" s="45">
        <v>0</v>
      </c>
      <c r="S489" s="45">
        <v>3228</v>
      </c>
    </row>
    <row r="490" spans="1:19" x14ac:dyDescent="0.3">
      <c r="A490" s="21">
        <v>10489</v>
      </c>
      <c r="B490" s="21" t="s">
        <v>707</v>
      </c>
      <c r="C490" s="21" t="s">
        <v>1744</v>
      </c>
      <c r="D490" s="21">
        <v>9241906785</v>
      </c>
      <c r="E490" s="21" t="s">
        <v>343</v>
      </c>
      <c r="F490" s="21" t="s">
        <v>50</v>
      </c>
      <c r="G490" s="43" t="s">
        <v>368</v>
      </c>
      <c r="H490" s="43" t="s">
        <v>22</v>
      </c>
      <c r="I490" s="43">
        <v>3</v>
      </c>
      <c r="J490" s="43">
        <v>1132</v>
      </c>
      <c r="K490" s="43">
        <v>0</v>
      </c>
      <c r="L490" s="44">
        <v>45563</v>
      </c>
      <c r="M490" s="43" t="s">
        <v>1646</v>
      </c>
      <c r="N490" s="43" t="s">
        <v>25</v>
      </c>
      <c r="O490" s="43" t="s">
        <v>45</v>
      </c>
      <c r="P490" s="43">
        <v>2</v>
      </c>
      <c r="Q490" s="45">
        <v>3396</v>
      </c>
      <c r="R490" s="45">
        <v>0</v>
      </c>
      <c r="S490" s="45">
        <v>3396</v>
      </c>
    </row>
    <row r="491" spans="1:19" x14ac:dyDescent="0.3">
      <c r="A491" s="21">
        <v>10490</v>
      </c>
      <c r="B491" s="21" t="s">
        <v>1524</v>
      </c>
      <c r="C491" s="21" t="s">
        <v>1754</v>
      </c>
      <c r="D491" s="21">
        <v>9602518754</v>
      </c>
      <c r="E491" s="21" t="s">
        <v>279</v>
      </c>
      <c r="F491" s="21" t="s">
        <v>259</v>
      </c>
      <c r="G491" s="43" t="s">
        <v>155</v>
      </c>
      <c r="H491" s="43" t="s">
        <v>92</v>
      </c>
      <c r="I491" s="43">
        <v>1</v>
      </c>
      <c r="J491" s="43">
        <v>685</v>
      </c>
      <c r="K491" s="43">
        <v>10</v>
      </c>
      <c r="L491" s="44">
        <v>45314</v>
      </c>
      <c r="M491" s="43" t="s">
        <v>24</v>
      </c>
      <c r="N491" s="43" t="s">
        <v>25</v>
      </c>
      <c r="O491" s="43" t="s">
        <v>71</v>
      </c>
      <c r="P491" s="43">
        <v>2</v>
      </c>
      <c r="Q491" s="45">
        <v>685</v>
      </c>
      <c r="R491" s="45">
        <v>68.5</v>
      </c>
      <c r="S491" s="45">
        <v>616.5</v>
      </c>
    </row>
    <row r="492" spans="1:19" x14ac:dyDescent="0.3">
      <c r="A492" s="21">
        <v>10491</v>
      </c>
      <c r="B492" s="21" t="s">
        <v>379</v>
      </c>
      <c r="C492" s="21" t="s">
        <v>1690</v>
      </c>
      <c r="D492" s="21" t="s">
        <v>1812</v>
      </c>
      <c r="E492" s="21" t="s">
        <v>279</v>
      </c>
      <c r="F492" s="21" t="s">
        <v>259</v>
      </c>
      <c r="G492" s="43" t="s">
        <v>411</v>
      </c>
      <c r="H492" s="43" t="s">
        <v>83</v>
      </c>
      <c r="I492" s="43">
        <v>2</v>
      </c>
      <c r="J492" s="43">
        <v>56410</v>
      </c>
      <c r="K492" s="43">
        <v>10</v>
      </c>
      <c r="L492" s="44">
        <v>45311</v>
      </c>
      <c r="M492" s="43" t="s">
        <v>1649</v>
      </c>
      <c r="N492" s="43" t="s">
        <v>25</v>
      </c>
      <c r="O492" s="43" t="s">
        <v>45</v>
      </c>
      <c r="P492" s="43">
        <v>5</v>
      </c>
      <c r="Q492" s="45">
        <v>112820</v>
      </c>
      <c r="R492" s="45">
        <v>11282</v>
      </c>
      <c r="S492" s="45">
        <v>101538</v>
      </c>
    </row>
    <row r="493" spans="1:19" x14ac:dyDescent="0.3">
      <c r="A493" s="21">
        <v>10492</v>
      </c>
      <c r="B493" s="21" t="s">
        <v>1706</v>
      </c>
      <c r="C493" s="21" t="s">
        <v>1787</v>
      </c>
      <c r="D493" s="21">
        <v>9967572793</v>
      </c>
      <c r="E493" s="21" t="s">
        <v>172</v>
      </c>
      <c r="F493" s="21" t="s">
        <v>150</v>
      </c>
      <c r="G493" s="43" t="s">
        <v>198</v>
      </c>
      <c r="H493" s="43" t="s">
        <v>41</v>
      </c>
      <c r="I493" s="43">
        <v>3</v>
      </c>
      <c r="J493" s="43">
        <v>163</v>
      </c>
      <c r="K493" s="43">
        <v>15</v>
      </c>
      <c r="L493" s="44">
        <v>45430</v>
      </c>
      <c r="M493" s="43" t="s">
        <v>1646</v>
      </c>
      <c r="N493" s="43" t="s">
        <v>25</v>
      </c>
      <c r="O493" s="43" t="s">
        <v>34</v>
      </c>
      <c r="P493" s="43">
        <v>5</v>
      </c>
      <c r="Q493" s="45">
        <v>489</v>
      </c>
      <c r="R493" s="45">
        <v>73.349999999999994</v>
      </c>
      <c r="S493" s="45">
        <v>415.65</v>
      </c>
    </row>
    <row r="494" spans="1:19" x14ac:dyDescent="0.3">
      <c r="A494" s="21">
        <v>10493</v>
      </c>
      <c r="B494" s="21" t="s">
        <v>800</v>
      </c>
      <c r="C494" s="21" t="s">
        <v>1726</v>
      </c>
      <c r="D494" s="21">
        <v>9546473972</v>
      </c>
      <c r="E494" s="21" t="s">
        <v>38</v>
      </c>
      <c r="F494" s="21" t="s">
        <v>429</v>
      </c>
      <c r="G494" s="43" t="s">
        <v>21</v>
      </c>
      <c r="H494" s="43" t="s">
        <v>22</v>
      </c>
      <c r="I494" s="43">
        <v>5</v>
      </c>
      <c r="J494" s="43">
        <v>597</v>
      </c>
      <c r="K494" s="43">
        <v>0</v>
      </c>
      <c r="L494" s="44">
        <v>45364</v>
      </c>
      <c r="M494" s="43" t="s">
        <v>1646</v>
      </c>
      <c r="N494" s="43" t="s">
        <v>25</v>
      </c>
      <c r="O494" s="43" t="s">
        <v>45</v>
      </c>
      <c r="P494" s="43">
        <v>1</v>
      </c>
      <c r="Q494" s="45">
        <v>2985</v>
      </c>
      <c r="R494" s="45">
        <v>0</v>
      </c>
      <c r="S494" s="45">
        <v>2985</v>
      </c>
    </row>
    <row r="495" spans="1:19" x14ac:dyDescent="0.3">
      <c r="A495" s="21">
        <v>10494</v>
      </c>
      <c r="B495" s="21" t="s">
        <v>233</v>
      </c>
      <c r="C495" s="21" t="s">
        <v>1751</v>
      </c>
      <c r="D495" s="21" t="s">
        <v>1812</v>
      </c>
      <c r="E495" s="21" t="s">
        <v>197</v>
      </c>
      <c r="F495" s="21" t="s">
        <v>191</v>
      </c>
      <c r="G495" s="43" t="s">
        <v>280</v>
      </c>
      <c r="H495" s="43" t="s">
        <v>41</v>
      </c>
      <c r="I495" s="43">
        <v>1</v>
      </c>
      <c r="J495" s="43">
        <v>199</v>
      </c>
      <c r="K495" s="43">
        <v>5</v>
      </c>
      <c r="L495" s="44">
        <v>45387</v>
      </c>
      <c r="M495" s="43" t="s">
        <v>1646</v>
      </c>
      <c r="N495" s="43" t="s">
        <v>25</v>
      </c>
      <c r="O495" s="43" t="s">
        <v>174</v>
      </c>
      <c r="P495" s="43">
        <v>4</v>
      </c>
      <c r="Q495" s="45">
        <v>199</v>
      </c>
      <c r="R495" s="45">
        <v>9.9499999999999993</v>
      </c>
      <c r="S495" s="45">
        <v>189.05</v>
      </c>
    </row>
    <row r="496" spans="1:19" x14ac:dyDescent="0.3">
      <c r="A496" s="21">
        <v>10495</v>
      </c>
      <c r="B496" s="21" t="s">
        <v>896</v>
      </c>
      <c r="C496" s="21" t="s">
        <v>1763</v>
      </c>
      <c r="D496" s="21">
        <v>9924710516</v>
      </c>
      <c r="E496" s="21" t="s">
        <v>343</v>
      </c>
      <c r="F496" s="21" t="s">
        <v>50</v>
      </c>
      <c r="G496" s="43" t="s">
        <v>198</v>
      </c>
      <c r="H496" s="43" t="s">
        <v>41</v>
      </c>
      <c r="I496" s="43">
        <v>4</v>
      </c>
      <c r="J496" s="43">
        <v>350</v>
      </c>
      <c r="K496" s="43">
        <v>20</v>
      </c>
      <c r="L496" s="44">
        <v>45347</v>
      </c>
      <c r="M496" s="43" t="s">
        <v>69</v>
      </c>
      <c r="N496" s="43" t="s">
        <v>119</v>
      </c>
      <c r="O496" s="43" t="s">
        <v>1641</v>
      </c>
      <c r="P496" s="43">
        <v>5</v>
      </c>
      <c r="Q496" s="45">
        <v>1400</v>
      </c>
      <c r="R496" s="45">
        <v>280</v>
      </c>
      <c r="S496" s="45">
        <v>1120</v>
      </c>
    </row>
    <row r="497" spans="1:19" x14ac:dyDescent="0.3">
      <c r="A497" s="21">
        <v>10496</v>
      </c>
      <c r="B497" s="21" t="s">
        <v>310</v>
      </c>
      <c r="C497" s="21" t="s">
        <v>1640</v>
      </c>
      <c r="D497" s="21" t="s">
        <v>1812</v>
      </c>
      <c r="E497" s="21" t="s">
        <v>273</v>
      </c>
      <c r="F497" s="21" t="s">
        <v>50</v>
      </c>
      <c r="G497" s="43" t="s">
        <v>231</v>
      </c>
      <c r="H497" s="43" t="s">
        <v>83</v>
      </c>
      <c r="I497" s="43">
        <v>3</v>
      </c>
      <c r="J497" s="43">
        <v>3373</v>
      </c>
      <c r="K497" s="43">
        <v>15</v>
      </c>
      <c r="L497" s="44">
        <v>45655</v>
      </c>
      <c r="M497" s="43" t="s">
        <v>43</v>
      </c>
      <c r="N497" s="43" t="s">
        <v>25</v>
      </c>
      <c r="O497" s="43" t="s">
        <v>45</v>
      </c>
      <c r="P497" s="43">
        <v>4</v>
      </c>
      <c r="Q497" s="45">
        <v>10119</v>
      </c>
      <c r="R497" s="45">
        <v>1517.85</v>
      </c>
      <c r="S497" s="45">
        <v>8601.15</v>
      </c>
    </row>
    <row r="498" spans="1:19" x14ac:dyDescent="0.3">
      <c r="A498" s="21">
        <v>10497</v>
      </c>
      <c r="B498" s="21" t="s">
        <v>127</v>
      </c>
      <c r="C498" s="21" t="s">
        <v>1653</v>
      </c>
      <c r="D498" s="21">
        <v>9491072948</v>
      </c>
      <c r="E498" s="21" t="s">
        <v>279</v>
      </c>
      <c r="F498" s="21" t="s">
        <v>259</v>
      </c>
      <c r="G498" s="43" t="s">
        <v>151</v>
      </c>
      <c r="H498" s="43" t="s">
        <v>143</v>
      </c>
      <c r="I498" s="43">
        <v>1</v>
      </c>
      <c r="J498" s="43">
        <v>862</v>
      </c>
      <c r="K498" s="43">
        <v>15</v>
      </c>
      <c r="L498" s="44">
        <v>45642</v>
      </c>
      <c r="M498" s="43" t="s">
        <v>24</v>
      </c>
      <c r="N498" s="43" t="s">
        <v>25</v>
      </c>
      <c r="O498" s="43" t="s">
        <v>45</v>
      </c>
      <c r="P498" s="43">
        <v>3</v>
      </c>
      <c r="Q498" s="45">
        <v>862</v>
      </c>
      <c r="R498" s="45">
        <v>129.30000000000001</v>
      </c>
      <c r="S498" s="45">
        <v>732.7</v>
      </c>
    </row>
    <row r="499" spans="1:19" x14ac:dyDescent="0.3">
      <c r="A499" s="21">
        <v>10498</v>
      </c>
      <c r="B499" s="21" t="s">
        <v>250</v>
      </c>
      <c r="C499" s="21" t="s">
        <v>1645</v>
      </c>
      <c r="D499" s="21">
        <v>9885334836</v>
      </c>
      <c r="E499" s="21" t="s">
        <v>279</v>
      </c>
      <c r="F499" s="21" t="s">
        <v>259</v>
      </c>
      <c r="G499" s="43" t="s">
        <v>368</v>
      </c>
      <c r="H499" s="43" t="s">
        <v>22</v>
      </c>
      <c r="I499" s="43">
        <v>3</v>
      </c>
      <c r="J499" s="43">
        <v>1784</v>
      </c>
      <c r="K499" s="43">
        <v>0</v>
      </c>
      <c r="L499" s="44">
        <v>45596</v>
      </c>
      <c r="M499" s="43" t="s">
        <v>1646</v>
      </c>
      <c r="N499" s="43" t="s">
        <v>25</v>
      </c>
      <c r="O499" s="43" t="s">
        <v>53</v>
      </c>
      <c r="P499" s="43" t="s">
        <v>1813</v>
      </c>
      <c r="Q499" s="45">
        <v>5352</v>
      </c>
      <c r="R499" s="45">
        <v>0</v>
      </c>
      <c r="S499" s="45">
        <v>5352</v>
      </c>
    </row>
    <row r="500" spans="1:19" x14ac:dyDescent="0.3">
      <c r="A500" s="21">
        <v>10499</v>
      </c>
      <c r="B500" s="21" t="s">
        <v>598</v>
      </c>
      <c r="C500" s="21" t="s">
        <v>1725</v>
      </c>
      <c r="D500" s="21">
        <v>9408049449</v>
      </c>
      <c r="E500" s="21" t="s">
        <v>391</v>
      </c>
      <c r="F500" s="21" t="s">
        <v>90</v>
      </c>
      <c r="G500" s="43" t="s">
        <v>99</v>
      </c>
      <c r="H500" s="43" t="s">
        <v>92</v>
      </c>
      <c r="I500" s="43">
        <v>4</v>
      </c>
      <c r="J500" s="43">
        <v>4804</v>
      </c>
      <c r="K500" s="43">
        <v>0</v>
      </c>
      <c r="L500" s="44">
        <v>45369</v>
      </c>
      <c r="M500" s="43" t="s">
        <v>69</v>
      </c>
      <c r="N500" s="43" t="s">
        <v>25</v>
      </c>
      <c r="O500" s="43" t="s">
        <v>1641</v>
      </c>
      <c r="P500" s="43">
        <v>1</v>
      </c>
      <c r="Q500" s="45">
        <v>19216</v>
      </c>
      <c r="R500" s="45">
        <v>0</v>
      </c>
      <c r="S500" s="45">
        <v>19216</v>
      </c>
    </row>
    <row r="501" spans="1:19" x14ac:dyDescent="0.3">
      <c r="A501" s="21">
        <v>10500</v>
      </c>
      <c r="B501" s="21" t="s">
        <v>658</v>
      </c>
      <c r="C501" s="21" t="s">
        <v>1796</v>
      </c>
      <c r="D501" s="21">
        <v>9221653091</v>
      </c>
      <c r="E501" s="21" t="s">
        <v>57</v>
      </c>
      <c r="F501" s="21" t="s">
        <v>50</v>
      </c>
      <c r="G501" s="43" t="s">
        <v>280</v>
      </c>
      <c r="H501" s="43" t="s">
        <v>41</v>
      </c>
      <c r="I501" s="43">
        <v>5</v>
      </c>
      <c r="J501" s="43">
        <v>75</v>
      </c>
      <c r="K501" s="43">
        <v>0</v>
      </c>
      <c r="L501" s="44">
        <v>45393</v>
      </c>
      <c r="M501" s="43" t="s">
        <v>1649</v>
      </c>
      <c r="N501" s="43" t="s">
        <v>25</v>
      </c>
      <c r="O501" s="43" t="s">
        <v>71</v>
      </c>
      <c r="P501" s="43">
        <v>3</v>
      </c>
      <c r="Q501" s="45">
        <v>375</v>
      </c>
      <c r="R501" s="45">
        <v>0</v>
      </c>
      <c r="S501" s="45">
        <v>375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88D6A-4EC6-4BEC-9B6C-F522349413AE}">
  <dimension ref="A3:B10"/>
  <sheetViews>
    <sheetView workbookViewId="0">
      <selection activeCell="G24" sqref="G24"/>
    </sheetView>
  </sheetViews>
  <sheetFormatPr defaultRowHeight="14.4" x14ac:dyDescent="0.3"/>
  <cols>
    <col min="1" max="1" width="12.5546875" bestFit="1" customWidth="1"/>
    <col min="2" max="2" width="16" bestFit="1" customWidth="1"/>
  </cols>
  <sheetData>
    <row r="3" spans="1:2" x14ac:dyDescent="0.3">
      <c r="A3" s="18" t="s">
        <v>1818</v>
      </c>
      <c r="B3" t="s">
        <v>1817</v>
      </c>
    </row>
    <row r="4" spans="1:2" x14ac:dyDescent="0.3">
      <c r="A4" s="19" t="s">
        <v>41</v>
      </c>
      <c r="B4" s="24">
        <v>26549.199999999993</v>
      </c>
    </row>
    <row r="5" spans="1:2" x14ac:dyDescent="0.3">
      <c r="A5" s="19" t="s">
        <v>60</v>
      </c>
      <c r="B5" s="24">
        <v>56251.950000000004</v>
      </c>
    </row>
    <row r="6" spans="1:2" x14ac:dyDescent="0.3">
      <c r="A6" s="19" t="s">
        <v>143</v>
      </c>
      <c r="B6" s="24">
        <v>98008.45</v>
      </c>
    </row>
    <row r="7" spans="1:2" x14ac:dyDescent="0.3">
      <c r="A7" s="19" t="s">
        <v>22</v>
      </c>
      <c r="B7" s="24">
        <v>392942.55</v>
      </c>
    </row>
    <row r="8" spans="1:2" x14ac:dyDescent="0.3">
      <c r="A8" s="19" t="s">
        <v>92</v>
      </c>
      <c r="B8" s="24">
        <v>417530.29999999993</v>
      </c>
    </row>
    <row r="9" spans="1:2" x14ac:dyDescent="0.3">
      <c r="A9" s="19" t="s">
        <v>83</v>
      </c>
      <c r="B9" s="24">
        <v>11906977.950000001</v>
      </c>
    </row>
    <row r="10" spans="1:2" x14ac:dyDescent="0.3">
      <c r="A10" s="19" t="s">
        <v>1819</v>
      </c>
      <c r="B10" s="24">
        <v>12898260.4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B7969-9ECB-47AC-9134-C257CF5DEB90}">
  <dimension ref="A3:B7"/>
  <sheetViews>
    <sheetView tabSelected="1" workbookViewId="0">
      <selection activeCell="M12" sqref="M12"/>
    </sheetView>
  </sheetViews>
  <sheetFormatPr defaultRowHeight="14.4" x14ac:dyDescent="0.3"/>
  <cols>
    <col min="1" max="1" width="12.5546875" bestFit="1" customWidth="1"/>
    <col min="2" max="2" width="16.44140625" bestFit="1" customWidth="1"/>
  </cols>
  <sheetData>
    <row r="3" spans="1:2" x14ac:dyDescent="0.3">
      <c r="A3" s="18" t="s">
        <v>1818</v>
      </c>
      <c r="B3" t="s">
        <v>1820</v>
      </c>
    </row>
    <row r="4" spans="1:2" x14ac:dyDescent="0.3">
      <c r="A4" s="19" t="s">
        <v>119</v>
      </c>
      <c r="B4">
        <v>29</v>
      </c>
    </row>
    <row r="5" spans="1:2" x14ac:dyDescent="0.3">
      <c r="A5" s="19" t="s">
        <v>456</v>
      </c>
      <c r="B5">
        <v>36</v>
      </c>
    </row>
    <row r="6" spans="1:2" x14ac:dyDescent="0.3">
      <c r="A6" s="19" t="s">
        <v>25</v>
      </c>
      <c r="B6">
        <v>435</v>
      </c>
    </row>
    <row r="7" spans="1:2" x14ac:dyDescent="0.3">
      <c r="A7" s="19" t="s">
        <v>1819</v>
      </c>
      <c r="B7">
        <v>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5A755-0A7F-487A-A7F8-D44EFE010E51}">
  <dimension ref="A3:B13"/>
  <sheetViews>
    <sheetView workbookViewId="0">
      <selection activeCell="N12" sqref="N12"/>
    </sheetView>
  </sheetViews>
  <sheetFormatPr defaultRowHeight="14.4" x14ac:dyDescent="0.3"/>
  <cols>
    <col min="1" max="1" width="12.5546875" bestFit="1" customWidth="1"/>
    <col min="2" max="2" width="16" bestFit="1" customWidth="1"/>
  </cols>
  <sheetData>
    <row r="3" spans="1:2" x14ac:dyDescent="0.3">
      <c r="A3" s="18" t="s">
        <v>1818</v>
      </c>
      <c r="B3" t="s">
        <v>1817</v>
      </c>
    </row>
    <row r="4" spans="1:2" x14ac:dyDescent="0.3">
      <c r="A4" s="19" t="s">
        <v>75</v>
      </c>
      <c r="B4" s="24">
        <v>442884.4</v>
      </c>
    </row>
    <row r="5" spans="1:2" x14ac:dyDescent="0.3">
      <c r="A5" s="19" t="s">
        <v>429</v>
      </c>
      <c r="B5" s="24">
        <v>970458.6</v>
      </c>
    </row>
    <row r="6" spans="1:2" x14ac:dyDescent="0.3">
      <c r="A6" s="19" t="s">
        <v>90</v>
      </c>
      <c r="B6" s="24">
        <v>1112903.9000000001</v>
      </c>
    </row>
    <row r="7" spans="1:2" x14ac:dyDescent="0.3">
      <c r="A7" s="19" t="s">
        <v>259</v>
      </c>
      <c r="B7" s="24">
        <v>1120085.7499999998</v>
      </c>
    </row>
    <row r="8" spans="1:2" x14ac:dyDescent="0.3">
      <c r="A8" s="19" t="s">
        <v>98</v>
      </c>
      <c r="B8" s="24">
        <v>1148361.5000000002</v>
      </c>
    </row>
    <row r="9" spans="1:2" x14ac:dyDescent="0.3">
      <c r="A9" s="19" t="s">
        <v>111</v>
      </c>
      <c r="B9" s="24">
        <v>1224066.7999999998</v>
      </c>
    </row>
    <row r="10" spans="1:2" x14ac:dyDescent="0.3">
      <c r="A10" s="19" t="s">
        <v>191</v>
      </c>
      <c r="B10" s="24">
        <v>1553841.8500000003</v>
      </c>
    </row>
    <row r="11" spans="1:2" x14ac:dyDescent="0.3">
      <c r="A11" s="19" t="s">
        <v>150</v>
      </c>
      <c r="B11" s="24">
        <v>2046506.0500000005</v>
      </c>
    </row>
    <row r="12" spans="1:2" x14ac:dyDescent="0.3">
      <c r="A12" s="19" t="s">
        <v>50</v>
      </c>
      <c r="B12" s="24">
        <v>3279151.55</v>
      </c>
    </row>
    <row r="13" spans="1:2" x14ac:dyDescent="0.3">
      <c r="A13" s="19" t="s">
        <v>1819</v>
      </c>
      <c r="B13" s="24">
        <v>12898260.4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E2A89-4549-4C99-8AB9-A9C61FC70917}">
  <dimension ref="A3:B10"/>
  <sheetViews>
    <sheetView workbookViewId="0">
      <selection activeCell="Q14" sqref="Q14"/>
    </sheetView>
  </sheetViews>
  <sheetFormatPr defaultRowHeight="14.4" x14ac:dyDescent="0.3"/>
  <cols>
    <col min="1" max="1" width="12.5546875" bestFit="1" customWidth="1"/>
    <col min="2" max="2" width="16" bestFit="1" customWidth="1"/>
  </cols>
  <sheetData>
    <row r="3" spans="1:2" x14ac:dyDescent="0.3">
      <c r="A3" s="18" t="s">
        <v>1818</v>
      </c>
      <c r="B3" t="s">
        <v>1817</v>
      </c>
    </row>
    <row r="4" spans="1:2" x14ac:dyDescent="0.3">
      <c r="A4" s="19" t="s">
        <v>45</v>
      </c>
      <c r="B4" s="24">
        <v>1433780.5999999999</v>
      </c>
    </row>
    <row r="5" spans="1:2" x14ac:dyDescent="0.3">
      <c r="A5" s="19" t="s">
        <v>53</v>
      </c>
      <c r="B5" s="24">
        <v>2277321.0500000003</v>
      </c>
    </row>
    <row r="6" spans="1:2" x14ac:dyDescent="0.3">
      <c r="A6" s="19" t="s">
        <v>174</v>
      </c>
      <c r="B6" s="24">
        <v>2214665.5000000009</v>
      </c>
    </row>
    <row r="7" spans="1:2" x14ac:dyDescent="0.3">
      <c r="A7" s="19" t="s">
        <v>71</v>
      </c>
      <c r="B7" s="24">
        <v>3939205.35</v>
      </c>
    </row>
    <row r="8" spans="1:2" x14ac:dyDescent="0.3">
      <c r="A8" s="19" t="s">
        <v>34</v>
      </c>
      <c r="B8" s="24">
        <v>2371506.3499999996</v>
      </c>
    </row>
    <row r="9" spans="1:2" x14ac:dyDescent="0.3">
      <c r="A9" s="19" t="s">
        <v>1641</v>
      </c>
      <c r="B9" s="24">
        <v>661781.54999999981</v>
      </c>
    </row>
    <row r="10" spans="1:2" x14ac:dyDescent="0.3">
      <c r="A10" s="19" t="s">
        <v>1819</v>
      </c>
      <c r="B10" s="24">
        <v>12898260.400000002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1537F-5E75-41B9-AEF9-AB3E45B8A7F7}">
  <dimension ref="A3:B19"/>
  <sheetViews>
    <sheetView topLeftCell="A4" zoomScale="110" workbookViewId="0">
      <selection activeCell="L19" sqref="L19"/>
    </sheetView>
  </sheetViews>
  <sheetFormatPr defaultRowHeight="14.4" x14ac:dyDescent="0.3"/>
  <cols>
    <col min="1" max="1" width="12.5546875" bestFit="1" customWidth="1"/>
    <col min="2" max="2" width="16" bestFit="1" customWidth="1"/>
  </cols>
  <sheetData>
    <row r="3" spans="1:2" x14ac:dyDescent="0.3">
      <c r="A3" s="18" t="s">
        <v>1818</v>
      </c>
      <c r="B3" t="s">
        <v>1821</v>
      </c>
    </row>
    <row r="4" spans="1:2" x14ac:dyDescent="0.3">
      <c r="A4" s="19" t="s">
        <v>151</v>
      </c>
      <c r="B4">
        <v>3.2380952380952381</v>
      </c>
    </row>
    <row r="5" spans="1:2" x14ac:dyDescent="0.3">
      <c r="A5" s="19" t="s">
        <v>231</v>
      </c>
      <c r="B5">
        <v>2.9310344827586206</v>
      </c>
    </row>
    <row r="6" spans="1:2" x14ac:dyDescent="0.3">
      <c r="A6" s="19" t="s">
        <v>368</v>
      </c>
      <c r="B6">
        <v>2.6129032258064515</v>
      </c>
    </row>
    <row r="7" spans="1:2" x14ac:dyDescent="0.3">
      <c r="A7" s="19" t="s">
        <v>226</v>
      </c>
      <c r="B7">
        <v>2.8076923076923075</v>
      </c>
    </row>
    <row r="8" spans="1:2" x14ac:dyDescent="0.3">
      <c r="A8" s="19" t="s">
        <v>411</v>
      </c>
      <c r="B8">
        <v>2.7692307692307692</v>
      </c>
    </row>
    <row r="9" spans="1:2" x14ac:dyDescent="0.3">
      <c r="A9" s="19" t="s">
        <v>280</v>
      </c>
      <c r="B9">
        <v>3.1</v>
      </c>
    </row>
    <row r="10" spans="1:2" x14ac:dyDescent="0.3">
      <c r="A10" s="19" t="s">
        <v>179</v>
      </c>
      <c r="B10">
        <v>3.2352941176470589</v>
      </c>
    </row>
    <row r="11" spans="1:2" x14ac:dyDescent="0.3">
      <c r="A11" s="19" t="s">
        <v>198</v>
      </c>
      <c r="B11">
        <v>3.3333333333333335</v>
      </c>
    </row>
    <row r="12" spans="1:2" x14ac:dyDescent="0.3">
      <c r="A12" s="19" t="s">
        <v>155</v>
      </c>
      <c r="B12">
        <v>2.652173913043478</v>
      </c>
    </row>
    <row r="13" spans="1:2" x14ac:dyDescent="0.3">
      <c r="A13" s="19" t="s">
        <v>204</v>
      </c>
      <c r="B13">
        <v>3</v>
      </c>
    </row>
    <row r="14" spans="1:2" x14ac:dyDescent="0.3">
      <c r="A14" s="19" t="s">
        <v>112</v>
      </c>
      <c r="B14">
        <v>3.375</v>
      </c>
    </row>
    <row r="15" spans="1:2" x14ac:dyDescent="0.3">
      <c r="A15" s="19" t="s">
        <v>106</v>
      </c>
      <c r="B15">
        <v>2.925925925925926</v>
      </c>
    </row>
    <row r="16" spans="1:2" x14ac:dyDescent="0.3">
      <c r="A16" s="19" t="s">
        <v>99</v>
      </c>
      <c r="B16">
        <v>2.9666666666666668</v>
      </c>
    </row>
    <row r="17" spans="1:2" x14ac:dyDescent="0.3">
      <c r="A17" s="19" t="s">
        <v>161</v>
      </c>
      <c r="B17">
        <v>3</v>
      </c>
    </row>
    <row r="18" spans="1:2" x14ac:dyDescent="0.3">
      <c r="A18" s="19" t="s">
        <v>21</v>
      </c>
      <c r="B18">
        <v>2.5217391304347827</v>
      </c>
    </row>
    <row r="19" spans="1:2" x14ac:dyDescent="0.3">
      <c r="A19" s="19" t="s">
        <v>1819</v>
      </c>
      <c r="B19">
        <v>2.9673366834170856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15CCE-032D-4883-9D19-C0BB3C660A9B}">
  <dimension ref="A1:B19"/>
  <sheetViews>
    <sheetView workbookViewId="0">
      <selection activeCell="A3" sqref="A3"/>
    </sheetView>
  </sheetViews>
  <sheetFormatPr defaultRowHeight="14.4" x14ac:dyDescent="0.3"/>
  <cols>
    <col min="1" max="1" width="17.5546875" bestFit="1" customWidth="1"/>
    <col min="2" max="2" width="16" bestFit="1" customWidth="1"/>
    <col min="3" max="3" width="11.5546875" bestFit="1" customWidth="1"/>
    <col min="4" max="5" width="9.21875" bestFit="1" customWidth="1"/>
    <col min="6" max="6" width="10.21875" bestFit="1" customWidth="1"/>
    <col min="7" max="7" width="9.44140625" bestFit="1" customWidth="1"/>
    <col min="8" max="10" width="7.6640625" bestFit="1" customWidth="1"/>
    <col min="11" max="11" width="9.109375" bestFit="1" customWidth="1"/>
    <col min="12" max="12" width="11.44140625" bestFit="1" customWidth="1"/>
    <col min="13" max="13" width="11.109375" bestFit="1" customWidth="1"/>
    <col min="14" max="14" width="9.21875" bestFit="1" customWidth="1"/>
    <col min="15" max="15" width="10.21875" bestFit="1" customWidth="1"/>
    <col min="16" max="16" width="7.6640625" bestFit="1" customWidth="1"/>
    <col min="17" max="17" width="11.77734375" bestFit="1" customWidth="1"/>
    <col min="18" max="276" width="10.33203125" bestFit="1" customWidth="1"/>
    <col min="277" max="277" width="12" bestFit="1" customWidth="1"/>
  </cols>
  <sheetData>
    <row r="1" spans="1:2" x14ac:dyDescent="0.3">
      <c r="A1" s="18" t="s">
        <v>1823</v>
      </c>
      <c r="B1" t="s">
        <v>1824</v>
      </c>
    </row>
    <row r="3" spans="1:2" x14ac:dyDescent="0.3">
      <c r="A3" s="18" t="s">
        <v>1818</v>
      </c>
      <c r="B3" t="s">
        <v>1817</v>
      </c>
    </row>
    <row r="4" spans="1:2" x14ac:dyDescent="0.3">
      <c r="A4" s="19" t="s">
        <v>151</v>
      </c>
      <c r="B4" s="24">
        <v>57612.7</v>
      </c>
    </row>
    <row r="5" spans="1:2" x14ac:dyDescent="0.3">
      <c r="A5" s="19" t="s">
        <v>231</v>
      </c>
      <c r="B5" s="24">
        <v>347855.7</v>
      </c>
    </row>
    <row r="6" spans="1:2" x14ac:dyDescent="0.3">
      <c r="A6" s="19" t="s">
        <v>368</v>
      </c>
      <c r="B6" s="24">
        <v>193754.75</v>
      </c>
    </row>
    <row r="7" spans="1:2" x14ac:dyDescent="0.3">
      <c r="A7" s="19" t="s">
        <v>226</v>
      </c>
      <c r="B7" s="24">
        <v>109049.85</v>
      </c>
    </row>
    <row r="8" spans="1:2" x14ac:dyDescent="0.3">
      <c r="A8" s="19" t="s">
        <v>411</v>
      </c>
      <c r="B8" s="24">
        <v>5429919.3999999994</v>
      </c>
    </row>
    <row r="9" spans="1:2" x14ac:dyDescent="0.3">
      <c r="A9" s="19" t="s">
        <v>280</v>
      </c>
      <c r="B9" s="24">
        <v>10488.65</v>
      </c>
    </row>
    <row r="10" spans="1:2" x14ac:dyDescent="0.3">
      <c r="A10" s="19" t="s">
        <v>179</v>
      </c>
      <c r="B10" s="24">
        <v>56251.950000000004</v>
      </c>
    </row>
    <row r="11" spans="1:2" x14ac:dyDescent="0.3">
      <c r="A11" s="19" t="s">
        <v>198</v>
      </c>
      <c r="B11" s="24">
        <v>16060.55</v>
      </c>
    </row>
    <row r="12" spans="1:2" x14ac:dyDescent="0.3">
      <c r="A12" s="19" t="s">
        <v>155</v>
      </c>
      <c r="B12" s="24">
        <v>77398.899999999994</v>
      </c>
    </row>
    <row r="13" spans="1:2" x14ac:dyDescent="0.3">
      <c r="A13" s="19" t="s">
        <v>204</v>
      </c>
      <c r="B13" s="24">
        <v>40395.75</v>
      </c>
    </row>
    <row r="14" spans="1:2" x14ac:dyDescent="0.3">
      <c r="A14" s="19" t="s">
        <v>112</v>
      </c>
      <c r="B14" s="24">
        <v>2974000.75</v>
      </c>
    </row>
    <row r="15" spans="1:2" x14ac:dyDescent="0.3">
      <c r="A15" s="19" t="s">
        <v>106</v>
      </c>
      <c r="B15" s="24">
        <v>915684.2</v>
      </c>
    </row>
    <row r="16" spans="1:2" x14ac:dyDescent="0.3">
      <c r="A16" s="19" t="s">
        <v>99</v>
      </c>
      <c r="B16" s="24">
        <v>340131.39999999997</v>
      </c>
    </row>
    <row r="17" spans="1:2" x14ac:dyDescent="0.3">
      <c r="A17" s="19" t="s">
        <v>161</v>
      </c>
      <c r="B17" s="24">
        <v>2239517.9</v>
      </c>
    </row>
    <row r="18" spans="1:2" x14ac:dyDescent="0.3">
      <c r="A18" s="19" t="s">
        <v>21</v>
      </c>
      <c r="B18" s="24">
        <v>90137.95</v>
      </c>
    </row>
    <row r="19" spans="1:2" x14ac:dyDescent="0.3">
      <c r="A19" s="19" t="s">
        <v>1819</v>
      </c>
      <c r="B19" s="24">
        <v>12898260.399999999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8923E-ECCE-4766-8CCF-CAA5A2B1DDBA}">
  <dimension ref="A3:B9"/>
  <sheetViews>
    <sheetView workbookViewId="0">
      <selection activeCell="O17" sqref="O17"/>
    </sheetView>
  </sheetViews>
  <sheetFormatPr defaultRowHeight="14.4" x14ac:dyDescent="0.3"/>
  <cols>
    <col min="1" max="1" width="12.5546875" bestFit="1" customWidth="1"/>
    <col min="2" max="2" width="16" bestFit="1" customWidth="1"/>
  </cols>
  <sheetData>
    <row r="3" spans="1:2" x14ac:dyDescent="0.3">
      <c r="A3" s="18" t="s">
        <v>1818</v>
      </c>
      <c r="B3" t="s">
        <v>1817</v>
      </c>
    </row>
    <row r="4" spans="1:2" x14ac:dyDescent="0.3">
      <c r="A4" s="19" t="s">
        <v>197</v>
      </c>
      <c r="B4" s="24">
        <v>1553841.8500000003</v>
      </c>
    </row>
    <row r="5" spans="1:2" x14ac:dyDescent="0.3">
      <c r="A5" s="19" t="s">
        <v>111</v>
      </c>
      <c r="B5" s="20">
        <v>1224066.7999999998</v>
      </c>
    </row>
    <row r="6" spans="1:2" x14ac:dyDescent="0.3">
      <c r="A6" s="19" t="s">
        <v>371</v>
      </c>
      <c r="B6" s="20">
        <v>1148361.5000000002</v>
      </c>
    </row>
    <row r="7" spans="1:2" x14ac:dyDescent="0.3">
      <c r="A7" s="19" t="s">
        <v>343</v>
      </c>
      <c r="B7" s="20">
        <v>1147994.3999999999</v>
      </c>
    </row>
    <row r="8" spans="1:2" x14ac:dyDescent="0.3">
      <c r="A8" s="19" t="s">
        <v>172</v>
      </c>
      <c r="B8" s="20">
        <v>1125926.7999999998</v>
      </c>
    </row>
    <row r="9" spans="1:2" x14ac:dyDescent="0.3">
      <c r="A9" s="19" t="s">
        <v>1819</v>
      </c>
      <c r="B9" s="20">
        <v>6200191.3500000006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0E7C-9606-49B3-9748-3D9FF53F48D4}">
  <dimension ref="A3:B9"/>
  <sheetViews>
    <sheetView workbookViewId="0">
      <selection activeCell="O17" sqref="O17"/>
    </sheetView>
  </sheetViews>
  <sheetFormatPr defaultRowHeight="14.4" x14ac:dyDescent="0.3"/>
  <cols>
    <col min="1" max="1" width="14.77734375" bestFit="1" customWidth="1"/>
    <col min="2" max="2" width="16" bestFit="1" customWidth="1"/>
  </cols>
  <sheetData>
    <row r="3" spans="1:2" x14ac:dyDescent="0.3">
      <c r="A3" s="18" t="s">
        <v>1818</v>
      </c>
      <c r="B3" t="s">
        <v>1817</v>
      </c>
    </row>
    <row r="4" spans="1:2" x14ac:dyDescent="0.3">
      <c r="A4" s="19" t="s">
        <v>1649</v>
      </c>
      <c r="B4" s="24">
        <v>2080893.8000000003</v>
      </c>
    </row>
    <row r="5" spans="1:2" x14ac:dyDescent="0.3">
      <c r="A5" s="19" t="s">
        <v>69</v>
      </c>
      <c r="B5" s="24">
        <v>2330528.9500000002</v>
      </c>
    </row>
    <row r="6" spans="1:2" x14ac:dyDescent="0.3">
      <c r="A6" s="19" t="s">
        <v>24</v>
      </c>
      <c r="B6" s="24">
        <v>2316671.5</v>
      </c>
    </row>
    <row r="7" spans="1:2" x14ac:dyDescent="0.3">
      <c r="A7" s="19" t="s">
        <v>43</v>
      </c>
      <c r="B7" s="24">
        <v>3126825.0000000005</v>
      </c>
    </row>
    <row r="8" spans="1:2" x14ac:dyDescent="0.3">
      <c r="A8" s="19" t="s">
        <v>1646</v>
      </c>
      <c r="B8" s="24">
        <v>3043341.1499999994</v>
      </c>
    </row>
    <row r="9" spans="1:2" x14ac:dyDescent="0.3">
      <c r="A9" s="19" t="s">
        <v>1819</v>
      </c>
      <c r="B9" s="24">
        <v>12898260.399999999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A628F-88BC-40EA-B683-24DB89B4FE6D}">
  <sheetPr>
    <tabColor theme="8" tint="-0.249977111117893"/>
    <pageSetUpPr autoPageBreaks="0"/>
  </sheetPr>
  <dimension ref="A1:Z69"/>
  <sheetViews>
    <sheetView showGridLines="0" zoomScale="36" zoomScaleNormal="40" workbookViewId="0">
      <selection activeCell="AC3" sqref="AC3"/>
    </sheetView>
  </sheetViews>
  <sheetFormatPr defaultRowHeight="14.4" x14ac:dyDescent="0.3"/>
  <cols>
    <col min="9" max="9" width="9.33203125" customWidth="1"/>
    <col min="10" max="10" width="11" customWidth="1"/>
    <col min="21" max="21" width="8.88671875" customWidth="1"/>
    <col min="25" max="25" width="39.21875" customWidth="1"/>
  </cols>
  <sheetData>
    <row r="1" spans="1:26" x14ac:dyDescent="0.3">
      <c r="A1" s="47" t="s">
        <v>1822</v>
      </c>
      <c r="B1" s="48"/>
      <c r="C1" s="48"/>
      <c r="D1" s="48"/>
      <c r="E1" s="48"/>
      <c r="F1" s="48"/>
      <c r="G1" s="48"/>
      <c r="H1" s="48"/>
      <c r="I1" s="48"/>
      <c r="J1" s="48"/>
      <c r="K1" s="48"/>
      <c r="L1" s="48"/>
      <c r="M1" s="48"/>
      <c r="N1" s="48"/>
      <c r="O1" s="48"/>
      <c r="P1" s="48"/>
      <c r="Q1" s="48"/>
      <c r="R1" s="48"/>
      <c r="S1" s="48"/>
      <c r="T1" s="48"/>
      <c r="U1" s="48"/>
      <c r="V1" s="48"/>
      <c r="W1" s="48"/>
      <c r="X1" s="48"/>
      <c r="Y1" s="48"/>
      <c r="Z1" s="31"/>
    </row>
    <row r="2" spans="1:26" x14ac:dyDescent="0.3">
      <c r="A2" s="49"/>
      <c r="B2" s="50"/>
      <c r="C2" s="50"/>
      <c r="D2" s="50"/>
      <c r="E2" s="50"/>
      <c r="F2" s="50"/>
      <c r="G2" s="50"/>
      <c r="H2" s="50"/>
      <c r="I2" s="50"/>
      <c r="J2" s="50"/>
      <c r="K2" s="50"/>
      <c r="L2" s="50"/>
      <c r="M2" s="50"/>
      <c r="N2" s="50"/>
      <c r="O2" s="50"/>
      <c r="P2" s="50"/>
      <c r="Q2" s="50"/>
      <c r="R2" s="50"/>
      <c r="S2" s="50"/>
      <c r="T2" s="50"/>
      <c r="U2" s="50"/>
      <c r="V2" s="50"/>
      <c r="W2" s="50"/>
      <c r="X2" s="50"/>
      <c r="Y2" s="50"/>
      <c r="Z2" s="32"/>
    </row>
    <row r="3" spans="1:26" x14ac:dyDescent="0.3">
      <c r="A3" s="49"/>
      <c r="B3" s="50"/>
      <c r="C3" s="50"/>
      <c r="D3" s="50"/>
      <c r="E3" s="50"/>
      <c r="F3" s="50"/>
      <c r="G3" s="50"/>
      <c r="H3" s="50"/>
      <c r="I3" s="50"/>
      <c r="J3" s="50"/>
      <c r="K3" s="50"/>
      <c r="L3" s="50"/>
      <c r="M3" s="50"/>
      <c r="N3" s="50"/>
      <c r="O3" s="50"/>
      <c r="P3" s="50"/>
      <c r="Q3" s="50"/>
      <c r="R3" s="50"/>
      <c r="S3" s="50"/>
      <c r="T3" s="50"/>
      <c r="U3" s="50"/>
      <c r="V3" s="50"/>
      <c r="W3" s="50"/>
      <c r="X3" s="50"/>
      <c r="Y3" s="50"/>
      <c r="Z3" s="32"/>
    </row>
    <row r="4" spans="1:26" x14ac:dyDescent="0.3">
      <c r="A4" s="49"/>
      <c r="B4" s="50"/>
      <c r="C4" s="50"/>
      <c r="D4" s="50"/>
      <c r="E4" s="50"/>
      <c r="F4" s="50"/>
      <c r="G4" s="50"/>
      <c r="H4" s="50"/>
      <c r="I4" s="50"/>
      <c r="J4" s="50"/>
      <c r="K4" s="50"/>
      <c r="L4" s="50"/>
      <c r="M4" s="50"/>
      <c r="N4" s="50"/>
      <c r="O4" s="50"/>
      <c r="P4" s="50"/>
      <c r="Q4" s="50"/>
      <c r="R4" s="50"/>
      <c r="S4" s="50"/>
      <c r="T4" s="50"/>
      <c r="U4" s="50"/>
      <c r="V4" s="50"/>
      <c r="W4" s="50"/>
      <c r="X4" s="50"/>
      <c r="Y4" s="50"/>
      <c r="Z4" s="32"/>
    </row>
    <row r="5" spans="1:26" ht="14.4" customHeight="1" x14ac:dyDescent="0.3">
      <c r="A5" s="33"/>
      <c r="B5" s="34"/>
      <c r="C5" s="34"/>
      <c r="D5" s="34"/>
      <c r="E5" s="34"/>
      <c r="F5" s="34"/>
      <c r="G5" s="34"/>
      <c r="H5" s="34"/>
      <c r="I5" s="34"/>
      <c r="J5" s="34"/>
      <c r="K5" s="34"/>
      <c r="L5" s="34"/>
      <c r="M5" s="34"/>
      <c r="N5" s="34"/>
      <c r="O5" s="34"/>
      <c r="P5" s="34"/>
      <c r="Q5" s="34"/>
      <c r="R5" s="34"/>
      <c r="S5" s="34"/>
      <c r="T5" s="34"/>
      <c r="U5" s="34"/>
      <c r="V5" s="34"/>
      <c r="W5" s="34"/>
      <c r="X5" s="34"/>
      <c r="Y5" s="34"/>
      <c r="Z5" s="35"/>
    </row>
    <row r="6" spans="1:26" ht="27" customHeight="1" x14ac:dyDescent="0.3">
      <c r="A6" s="33"/>
      <c r="B6" s="25"/>
      <c r="C6" s="25"/>
      <c r="D6" s="25"/>
      <c r="E6" s="25"/>
      <c r="F6" s="34"/>
      <c r="G6" s="34"/>
      <c r="H6" s="34"/>
      <c r="I6" s="34"/>
      <c r="J6" s="34"/>
      <c r="K6" s="34"/>
      <c r="L6" s="34"/>
      <c r="M6" s="34"/>
      <c r="N6" s="34"/>
      <c r="O6" s="34"/>
      <c r="P6" s="34"/>
      <c r="Q6" s="34"/>
      <c r="R6" s="34"/>
      <c r="S6" s="34"/>
      <c r="T6" s="34"/>
      <c r="U6" s="34"/>
      <c r="V6" s="34"/>
      <c r="W6" s="34"/>
      <c r="X6" s="34"/>
      <c r="Y6" s="34"/>
      <c r="Z6" s="35"/>
    </row>
    <row r="7" spans="1:26" ht="18" customHeight="1" x14ac:dyDescent="0.3">
      <c r="A7" s="33"/>
      <c r="B7" s="25"/>
      <c r="C7" s="25"/>
      <c r="D7" s="25"/>
      <c r="E7" s="25"/>
      <c r="F7" s="34"/>
      <c r="G7" s="34"/>
      <c r="H7" s="34"/>
      <c r="I7" s="34"/>
      <c r="J7" s="34" t="e" cm="1">
        <f t="array" ref="J7">Table1!U4co</f>
        <v>#NAME?</v>
      </c>
      <c r="K7" s="34"/>
      <c r="L7" s="34"/>
      <c r="M7" s="34"/>
      <c r="N7" s="34"/>
      <c r="O7" s="34"/>
      <c r="P7" s="34"/>
      <c r="Q7" s="34"/>
      <c r="R7" s="34"/>
      <c r="S7" s="34"/>
      <c r="T7" s="34"/>
      <c r="U7" s="34"/>
      <c r="V7" s="34"/>
      <c r="W7" s="34"/>
      <c r="X7" s="34"/>
      <c r="Y7" s="34"/>
      <c r="Z7" s="35"/>
    </row>
    <row r="8" spans="1:26" ht="31.2" x14ac:dyDescent="0.3">
      <c r="A8" s="33"/>
      <c r="B8" s="25"/>
      <c r="C8" s="25"/>
      <c r="D8" s="25"/>
      <c r="E8" s="25"/>
      <c r="F8" s="34"/>
      <c r="G8" s="34"/>
      <c r="H8" s="34"/>
      <c r="I8" s="34"/>
      <c r="J8" s="34"/>
      <c r="K8" s="34"/>
      <c r="L8" s="34"/>
      <c r="M8" s="34"/>
      <c r="N8" s="34"/>
      <c r="O8" s="34"/>
      <c r="P8" s="34"/>
      <c r="Q8" s="34"/>
      <c r="R8" s="34"/>
      <c r="S8" s="34"/>
      <c r="T8" s="34"/>
      <c r="U8" s="34"/>
      <c r="V8" s="34"/>
      <c r="W8" s="34"/>
      <c r="X8" s="34"/>
      <c r="Y8" s="34"/>
      <c r="Z8" s="35"/>
    </row>
    <row r="9" spans="1:26" ht="15" customHeight="1" x14ac:dyDescent="0.3">
      <c r="A9" s="33"/>
      <c r="B9" s="25"/>
      <c r="C9" s="25"/>
      <c r="D9" s="25"/>
      <c r="E9" s="25"/>
      <c r="F9" s="34"/>
      <c r="G9" s="34"/>
      <c r="H9" s="34"/>
      <c r="I9" s="34"/>
      <c r="J9" s="34"/>
      <c r="K9" s="34"/>
      <c r="L9" s="34"/>
      <c r="M9" s="34"/>
      <c r="N9" s="34"/>
      <c r="O9" s="34"/>
      <c r="P9" s="34"/>
      <c r="Q9" s="34"/>
      <c r="R9" s="34"/>
      <c r="S9" s="34"/>
      <c r="T9" s="34"/>
      <c r="U9" s="34"/>
      <c r="V9" s="34"/>
      <c r="W9" s="34"/>
      <c r="X9" s="34"/>
      <c r="Y9" s="34"/>
      <c r="Z9" s="35"/>
    </row>
    <row r="10" spans="1:26" x14ac:dyDescent="0.3">
      <c r="A10" s="33"/>
      <c r="B10" s="34"/>
      <c r="C10" s="34"/>
      <c r="D10" s="34"/>
      <c r="E10" s="34"/>
      <c r="F10" s="34"/>
      <c r="G10" s="34"/>
      <c r="H10" s="34"/>
      <c r="I10" s="34"/>
      <c r="J10" s="34"/>
      <c r="K10" s="34"/>
      <c r="L10" s="34"/>
      <c r="M10" s="34"/>
      <c r="N10" s="34"/>
      <c r="O10" s="34"/>
      <c r="P10" s="34"/>
      <c r="Q10" s="34"/>
      <c r="R10" s="34"/>
      <c r="S10" s="34"/>
      <c r="T10" s="34"/>
      <c r="U10" s="34"/>
      <c r="V10" s="34"/>
      <c r="W10" s="34"/>
      <c r="X10" s="34"/>
      <c r="Y10" s="34"/>
      <c r="Z10" s="35"/>
    </row>
    <row r="11" spans="1:26" x14ac:dyDescent="0.3">
      <c r="A11" s="33"/>
      <c r="B11" s="34"/>
      <c r="C11" s="34"/>
      <c r="D11" s="34"/>
      <c r="E11" s="34"/>
      <c r="F11" s="34"/>
      <c r="G11" s="34"/>
      <c r="H11" s="34"/>
      <c r="I11" s="34"/>
      <c r="J11" s="34"/>
      <c r="K11" s="34"/>
      <c r="L11" s="34"/>
      <c r="M11" s="34"/>
      <c r="N11" s="34"/>
      <c r="O11" s="34"/>
      <c r="P11" s="34"/>
      <c r="Q11" s="34"/>
      <c r="R11" s="34"/>
      <c r="S11" s="34"/>
      <c r="T11" s="34"/>
      <c r="U11" s="34"/>
      <c r="V11" s="34"/>
      <c r="W11" s="34"/>
      <c r="X11" s="34"/>
      <c r="Y11" s="34"/>
      <c r="Z11" s="35"/>
    </row>
    <row r="12" spans="1:26" x14ac:dyDescent="0.3">
      <c r="A12" s="33"/>
      <c r="B12" s="34"/>
      <c r="C12" s="34"/>
      <c r="D12" s="34"/>
      <c r="E12" s="34"/>
      <c r="F12" s="34"/>
      <c r="G12" s="34"/>
      <c r="H12" s="34"/>
      <c r="I12" s="34"/>
      <c r="J12" s="34"/>
      <c r="K12" s="34"/>
      <c r="L12" s="34"/>
      <c r="M12" s="34"/>
      <c r="N12" s="34"/>
      <c r="O12" s="34"/>
      <c r="P12" s="34"/>
      <c r="Q12" s="34"/>
      <c r="R12" s="34"/>
      <c r="S12" s="34"/>
      <c r="T12" s="34"/>
      <c r="U12" s="34"/>
      <c r="V12" s="34"/>
      <c r="W12" s="34"/>
      <c r="X12" s="34"/>
      <c r="Y12" s="34"/>
      <c r="Z12" s="35"/>
    </row>
    <row r="13" spans="1:26" ht="14.4" customHeight="1" x14ac:dyDescent="0.3">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5"/>
    </row>
    <row r="14" spans="1:26" x14ac:dyDescent="0.3">
      <c r="A14" s="33"/>
      <c r="B14" s="34"/>
      <c r="C14" s="34"/>
      <c r="D14" s="34"/>
      <c r="E14" s="34"/>
      <c r="F14" s="34"/>
      <c r="G14" s="34"/>
      <c r="H14" s="34"/>
      <c r="I14" s="34"/>
      <c r="J14" s="34"/>
      <c r="K14" s="34"/>
      <c r="L14" s="34"/>
      <c r="M14" s="34"/>
      <c r="N14" s="34"/>
      <c r="O14" s="34"/>
      <c r="P14" s="34"/>
      <c r="Q14" s="34"/>
      <c r="R14" s="34"/>
      <c r="S14" s="34"/>
      <c r="T14" s="34"/>
      <c r="U14" s="34"/>
      <c r="V14" s="34"/>
      <c r="W14" s="34"/>
      <c r="X14" s="34"/>
      <c r="Y14" s="34"/>
      <c r="Z14" s="35"/>
    </row>
    <row r="15" spans="1:26" x14ac:dyDescent="0.3">
      <c r="A15" s="33"/>
      <c r="B15" s="34"/>
      <c r="C15" s="34"/>
      <c r="D15" s="34"/>
      <c r="E15" s="34"/>
      <c r="F15" s="34"/>
      <c r="G15" s="34"/>
      <c r="H15" s="34"/>
      <c r="I15" s="34"/>
      <c r="J15" s="34"/>
      <c r="K15" s="34"/>
      <c r="L15" s="34"/>
      <c r="M15" s="34"/>
      <c r="N15" s="34"/>
      <c r="O15" s="34"/>
      <c r="P15" s="34"/>
      <c r="Q15" s="34"/>
      <c r="R15" s="34"/>
      <c r="S15" s="34"/>
      <c r="T15" s="34"/>
      <c r="U15" s="34"/>
      <c r="V15" s="34"/>
      <c r="W15" s="34"/>
      <c r="X15" s="34"/>
      <c r="Y15" s="34"/>
      <c r="Z15" s="35"/>
    </row>
    <row r="16" spans="1:26" x14ac:dyDescent="0.3">
      <c r="A16" s="33"/>
      <c r="B16" s="34"/>
      <c r="C16" s="34"/>
      <c r="D16" s="34"/>
      <c r="E16" s="34"/>
      <c r="F16" s="34"/>
      <c r="G16" s="34"/>
      <c r="H16" s="34"/>
      <c r="I16" s="34"/>
      <c r="J16" s="34"/>
      <c r="K16" s="34"/>
      <c r="L16" s="34"/>
      <c r="M16" s="34"/>
      <c r="N16" s="34"/>
      <c r="O16" s="34"/>
      <c r="P16" s="34"/>
      <c r="Q16" s="34"/>
      <c r="R16" s="34"/>
      <c r="S16" s="34"/>
      <c r="T16" s="34"/>
      <c r="U16" s="34"/>
      <c r="V16" s="34"/>
      <c r="W16" s="34"/>
      <c r="X16" s="34"/>
      <c r="Y16" s="34"/>
      <c r="Z16" s="35"/>
    </row>
    <row r="17" spans="1:26" ht="14.4" customHeight="1" x14ac:dyDescent="0.3">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5"/>
    </row>
    <row r="18" spans="1:26" x14ac:dyDescent="0.3">
      <c r="A18" s="33"/>
      <c r="B18" s="34"/>
      <c r="C18" s="34"/>
      <c r="D18" s="34"/>
      <c r="E18" s="34"/>
      <c r="F18" s="34"/>
      <c r="G18" s="34"/>
      <c r="H18" s="34"/>
      <c r="I18" s="34"/>
      <c r="J18" s="34"/>
      <c r="K18" s="34"/>
      <c r="L18" s="34"/>
      <c r="M18" s="34"/>
      <c r="N18" s="34"/>
      <c r="O18" s="34"/>
      <c r="P18" s="34"/>
      <c r="Q18" s="34"/>
      <c r="R18" s="34"/>
      <c r="S18" s="34"/>
      <c r="T18" s="34"/>
      <c r="U18" s="34"/>
      <c r="V18" s="34"/>
      <c r="W18" s="34"/>
      <c r="X18" s="34"/>
      <c r="Y18" s="34"/>
      <c r="Z18" s="35"/>
    </row>
    <row r="19" spans="1:26" x14ac:dyDescent="0.3">
      <c r="A19" s="33"/>
      <c r="B19" s="34"/>
      <c r="C19" s="34"/>
      <c r="D19" s="34"/>
      <c r="E19" s="34"/>
      <c r="F19" s="34"/>
      <c r="G19" s="34"/>
      <c r="H19" s="34"/>
      <c r="I19" s="34"/>
      <c r="J19" s="34"/>
      <c r="K19" s="34"/>
      <c r="L19" s="34"/>
      <c r="M19" s="34"/>
      <c r="N19" s="34"/>
      <c r="O19" s="34"/>
      <c r="P19" s="34"/>
      <c r="Q19" s="34"/>
      <c r="R19" s="34"/>
      <c r="S19" s="34"/>
      <c r="T19" s="34"/>
      <c r="U19" s="34"/>
      <c r="V19" s="34"/>
      <c r="W19" s="34"/>
      <c r="X19" s="34"/>
      <c r="Y19" s="34"/>
      <c r="Z19" s="35"/>
    </row>
    <row r="20" spans="1:26" x14ac:dyDescent="0.3">
      <c r="A20" s="33"/>
      <c r="B20" s="34"/>
      <c r="C20" s="34"/>
      <c r="D20" s="34"/>
      <c r="E20" s="34"/>
      <c r="F20" s="34"/>
      <c r="G20" s="34"/>
      <c r="H20" s="34"/>
      <c r="I20" s="34"/>
      <c r="J20" s="34"/>
      <c r="K20" s="34"/>
      <c r="L20" s="34"/>
      <c r="M20" s="34"/>
      <c r="N20" s="34"/>
      <c r="O20" s="34"/>
      <c r="P20" s="34"/>
      <c r="Q20" s="34"/>
      <c r="R20" s="34"/>
      <c r="S20" s="34"/>
      <c r="T20" s="34"/>
      <c r="U20" s="34"/>
      <c r="V20" s="34"/>
      <c r="W20" s="34"/>
      <c r="X20" s="34"/>
      <c r="Y20" s="34"/>
      <c r="Z20" s="35"/>
    </row>
    <row r="21" spans="1:26" ht="14.4" customHeight="1" x14ac:dyDescent="0.3">
      <c r="A21" s="33"/>
      <c r="B21" s="34"/>
      <c r="C21" s="34"/>
      <c r="D21" s="34"/>
      <c r="E21" s="34"/>
      <c r="F21" s="34"/>
      <c r="G21" s="34"/>
      <c r="H21" s="34"/>
      <c r="I21" s="34"/>
      <c r="J21" s="34"/>
      <c r="K21" s="34"/>
      <c r="L21" s="34"/>
      <c r="M21" s="34"/>
      <c r="N21" s="34"/>
      <c r="O21" s="34"/>
      <c r="P21" s="34"/>
      <c r="Q21" s="34"/>
      <c r="R21" s="34"/>
      <c r="S21" s="34"/>
      <c r="T21" s="34"/>
      <c r="U21" s="34"/>
      <c r="V21" s="34"/>
      <c r="W21" s="34"/>
      <c r="X21" s="34"/>
      <c r="Y21" s="34"/>
      <c r="Z21" s="35"/>
    </row>
    <row r="22" spans="1:26" x14ac:dyDescent="0.3">
      <c r="A22" s="33"/>
      <c r="B22" s="34"/>
      <c r="C22" s="34"/>
      <c r="D22" s="34"/>
      <c r="E22" s="34"/>
      <c r="F22" s="34"/>
      <c r="G22" s="34"/>
      <c r="H22" s="34"/>
      <c r="I22" s="34"/>
      <c r="J22" s="34"/>
      <c r="K22" s="34"/>
      <c r="L22" s="34"/>
      <c r="M22" s="34"/>
      <c r="N22" s="34"/>
      <c r="O22" s="34"/>
      <c r="P22" s="34"/>
      <c r="Q22" s="34"/>
      <c r="R22" s="34"/>
      <c r="S22" s="34"/>
      <c r="T22" s="34"/>
      <c r="U22" s="34"/>
      <c r="V22" s="34"/>
      <c r="W22" s="34"/>
      <c r="X22" s="34"/>
      <c r="Y22" s="34"/>
      <c r="Z22" s="35"/>
    </row>
    <row r="23" spans="1:26" x14ac:dyDescent="0.3">
      <c r="A23" s="33"/>
      <c r="B23" s="34"/>
      <c r="C23" s="34"/>
      <c r="D23" s="34"/>
      <c r="E23" s="34"/>
      <c r="F23" s="34"/>
      <c r="G23" s="34"/>
      <c r="H23" s="34"/>
      <c r="I23" s="34"/>
      <c r="J23" s="34"/>
      <c r="K23" s="34"/>
      <c r="L23" s="34"/>
      <c r="M23" s="34"/>
      <c r="N23" s="34"/>
      <c r="O23" s="34"/>
      <c r="P23" s="34"/>
      <c r="Q23" s="34"/>
      <c r="R23" s="34"/>
      <c r="S23" s="34"/>
      <c r="T23" s="34"/>
      <c r="U23" s="34"/>
      <c r="V23" s="34"/>
      <c r="W23" s="34"/>
      <c r="X23" s="34"/>
      <c r="Y23" s="34"/>
      <c r="Z23" s="35"/>
    </row>
    <row r="24" spans="1:26" ht="23.4" x14ac:dyDescent="0.45">
      <c r="A24" s="33"/>
      <c r="B24" s="34"/>
      <c r="C24" s="34"/>
      <c r="D24" s="34"/>
      <c r="E24" s="34"/>
      <c r="F24" s="34"/>
      <c r="G24" s="34"/>
      <c r="H24" s="34"/>
      <c r="I24" s="34"/>
      <c r="J24" s="36"/>
      <c r="K24" s="34"/>
      <c r="L24" s="34"/>
      <c r="M24" s="34"/>
      <c r="N24" s="34"/>
      <c r="O24" s="34"/>
      <c r="P24" s="34"/>
      <c r="Q24" s="34"/>
      <c r="R24" s="34"/>
      <c r="S24" s="34"/>
      <c r="T24" s="34"/>
      <c r="U24" s="34"/>
      <c r="V24" s="34"/>
      <c r="W24" s="34"/>
      <c r="X24" s="34"/>
      <c r="Y24" s="34"/>
      <c r="Z24" s="35"/>
    </row>
    <row r="25" spans="1:26" ht="14.4" customHeight="1" x14ac:dyDescent="0.3">
      <c r="A25" s="33"/>
      <c r="B25" s="34"/>
      <c r="C25" s="34"/>
      <c r="D25" s="34"/>
      <c r="E25" s="34"/>
      <c r="F25" s="34"/>
      <c r="G25" s="34"/>
      <c r="H25" s="34"/>
      <c r="I25" s="34"/>
      <c r="J25" s="34"/>
      <c r="K25" s="34"/>
      <c r="L25" s="34"/>
      <c r="M25" s="34"/>
      <c r="N25" s="34"/>
      <c r="O25" s="34"/>
      <c r="P25" s="34"/>
      <c r="Q25" s="34"/>
      <c r="R25" s="34"/>
      <c r="S25" s="34"/>
      <c r="T25" s="34"/>
      <c r="U25" s="34"/>
      <c r="V25" s="34"/>
      <c r="W25" s="34"/>
      <c r="X25" s="34"/>
      <c r="Y25" s="34"/>
      <c r="Z25" s="35"/>
    </row>
    <row r="26" spans="1:26" x14ac:dyDescent="0.3">
      <c r="A26" s="33"/>
      <c r="B26" s="34"/>
      <c r="C26" s="34"/>
      <c r="D26" s="34"/>
      <c r="E26" s="34"/>
      <c r="F26" s="34"/>
      <c r="G26" s="34"/>
      <c r="H26" s="34"/>
      <c r="I26" s="34"/>
      <c r="J26" s="34"/>
      <c r="K26" s="34"/>
      <c r="L26" s="34"/>
      <c r="M26" s="34"/>
      <c r="N26" s="34"/>
      <c r="O26" s="34"/>
      <c r="P26" s="34"/>
      <c r="Q26" s="34"/>
      <c r="R26" s="34"/>
      <c r="S26" s="34"/>
      <c r="T26" s="34"/>
      <c r="U26" s="34"/>
      <c r="V26" s="34"/>
      <c r="W26" s="34"/>
      <c r="X26" s="34"/>
      <c r="Y26" s="34"/>
      <c r="Z26" s="35"/>
    </row>
    <row r="27" spans="1:26" x14ac:dyDescent="0.3">
      <c r="A27" s="33"/>
      <c r="B27" s="34"/>
      <c r="C27" s="34"/>
      <c r="D27" s="34"/>
      <c r="E27" s="34"/>
      <c r="F27" s="34"/>
      <c r="G27" s="34"/>
      <c r="H27" s="34"/>
      <c r="I27" s="34"/>
      <c r="J27" s="34"/>
      <c r="K27" s="34"/>
      <c r="L27" s="34"/>
      <c r="M27" s="34"/>
      <c r="N27" s="34"/>
      <c r="O27" s="34"/>
      <c r="P27" s="34"/>
      <c r="Q27" s="34"/>
      <c r="R27" s="34"/>
      <c r="S27" s="34"/>
      <c r="T27" s="34"/>
      <c r="U27" s="34"/>
      <c r="V27" s="34"/>
      <c r="W27" s="34"/>
      <c r="X27" s="34"/>
      <c r="Y27" s="34"/>
      <c r="Z27" s="35"/>
    </row>
    <row r="28" spans="1:26" x14ac:dyDescent="0.3">
      <c r="A28" s="33"/>
      <c r="B28" s="34"/>
      <c r="C28" s="34"/>
      <c r="D28" s="34"/>
      <c r="E28" s="34"/>
      <c r="F28" s="34"/>
      <c r="G28" s="34"/>
      <c r="H28" s="34"/>
      <c r="I28" s="34"/>
      <c r="J28" s="34"/>
      <c r="K28" s="34"/>
      <c r="L28" s="34"/>
      <c r="M28" s="34"/>
      <c r="N28" s="34"/>
      <c r="O28" s="34"/>
      <c r="P28" s="34"/>
      <c r="Q28" s="34"/>
      <c r="R28" s="34"/>
      <c r="S28" s="34"/>
      <c r="T28" s="34"/>
      <c r="U28" s="34"/>
      <c r="V28" s="34"/>
      <c r="W28" s="34"/>
      <c r="X28" s="34"/>
      <c r="Y28" s="34"/>
      <c r="Z28" s="35"/>
    </row>
    <row r="29" spans="1:26" ht="14.4" customHeight="1" x14ac:dyDescent="0.3">
      <c r="A29" s="33"/>
      <c r="B29" s="34"/>
      <c r="C29" s="34"/>
      <c r="D29" s="34"/>
      <c r="E29" s="34"/>
      <c r="F29" s="34"/>
      <c r="G29" s="34"/>
      <c r="H29" s="34"/>
      <c r="I29" s="34"/>
      <c r="J29" s="34"/>
      <c r="K29" s="34"/>
      <c r="L29" s="34"/>
      <c r="M29" s="34"/>
      <c r="N29" s="34"/>
      <c r="O29" s="34"/>
      <c r="P29" s="34"/>
      <c r="Q29" s="34"/>
      <c r="R29" s="34"/>
      <c r="S29" s="34"/>
      <c r="T29" s="34"/>
      <c r="U29" s="34"/>
      <c r="V29" s="34"/>
      <c r="W29" s="34"/>
      <c r="X29" s="34"/>
      <c r="Y29" s="34"/>
      <c r="Z29" s="35"/>
    </row>
    <row r="30" spans="1:26" x14ac:dyDescent="0.3">
      <c r="A30" s="33"/>
      <c r="B30" s="34"/>
      <c r="C30" s="34"/>
      <c r="D30" s="34"/>
      <c r="E30" s="34"/>
      <c r="F30" s="34"/>
      <c r="G30" s="34"/>
      <c r="H30" s="34"/>
      <c r="I30" s="34"/>
      <c r="J30" s="34"/>
      <c r="K30" s="34"/>
      <c r="L30" s="34"/>
      <c r="M30" s="34"/>
      <c r="N30" s="34"/>
      <c r="O30" s="34"/>
      <c r="P30" s="34"/>
      <c r="Q30" s="34"/>
      <c r="R30" s="34"/>
      <c r="S30" s="34"/>
      <c r="T30" s="34"/>
      <c r="U30" s="34"/>
      <c r="V30" s="34"/>
      <c r="W30" s="34"/>
      <c r="X30" s="34"/>
      <c r="Y30" s="34"/>
      <c r="Z30" s="35"/>
    </row>
    <row r="31" spans="1:26" x14ac:dyDescent="0.3">
      <c r="A31" s="33"/>
      <c r="B31" s="34"/>
      <c r="C31" s="34"/>
      <c r="D31" s="34"/>
      <c r="E31" s="34"/>
      <c r="F31" s="34"/>
      <c r="G31" s="34"/>
      <c r="H31" s="34"/>
      <c r="I31" s="34"/>
      <c r="J31" s="34"/>
      <c r="K31" s="34"/>
      <c r="L31" s="34"/>
      <c r="M31" s="34"/>
      <c r="N31" s="34"/>
      <c r="O31" s="34"/>
      <c r="P31" s="34"/>
      <c r="Q31" s="34"/>
      <c r="R31" s="34"/>
      <c r="S31" s="34"/>
      <c r="T31" s="34"/>
      <c r="U31" s="34"/>
      <c r="V31" s="34"/>
      <c r="W31" s="34"/>
      <c r="X31" s="34"/>
      <c r="Y31" s="34"/>
      <c r="Z31" s="35"/>
    </row>
    <row r="32" spans="1:26" x14ac:dyDescent="0.3">
      <c r="A32" s="33"/>
      <c r="B32" s="34"/>
      <c r="C32" s="34"/>
      <c r="D32" s="34"/>
      <c r="E32" s="34"/>
      <c r="F32" s="34"/>
      <c r="G32" s="34"/>
      <c r="H32" s="34"/>
      <c r="I32" s="34"/>
      <c r="J32" s="34"/>
      <c r="K32" s="34"/>
      <c r="L32" s="34"/>
      <c r="M32" s="34"/>
      <c r="N32" s="34"/>
      <c r="O32" s="34"/>
      <c r="P32" s="34"/>
      <c r="Q32" s="34"/>
      <c r="R32" s="34"/>
      <c r="S32" s="34"/>
      <c r="T32" s="34"/>
      <c r="U32" s="34"/>
      <c r="V32" s="34"/>
      <c r="W32" s="34"/>
      <c r="X32" s="34"/>
      <c r="Y32" s="34"/>
      <c r="Z32" s="35"/>
    </row>
    <row r="33" spans="1:26" ht="14.4" customHeight="1" x14ac:dyDescent="0.3">
      <c r="A33" s="33"/>
      <c r="B33" s="34"/>
      <c r="C33" s="34"/>
      <c r="D33" s="34"/>
      <c r="E33" s="34"/>
      <c r="F33" s="34"/>
      <c r="G33" s="34"/>
      <c r="H33" s="34"/>
      <c r="I33" s="34"/>
      <c r="J33" s="34"/>
      <c r="K33" s="34"/>
      <c r="L33" s="34"/>
      <c r="M33" s="34"/>
      <c r="N33" s="34"/>
      <c r="O33" s="34"/>
      <c r="P33" s="34"/>
      <c r="Q33" s="34"/>
      <c r="R33" s="34"/>
      <c r="S33" s="34"/>
      <c r="T33" s="34"/>
      <c r="U33" s="34"/>
      <c r="V33" s="34"/>
      <c r="W33" s="34"/>
      <c r="X33" s="34"/>
      <c r="Y33" s="34"/>
      <c r="Z33" s="35"/>
    </row>
    <row r="34" spans="1:26" x14ac:dyDescent="0.3">
      <c r="A34" s="33"/>
      <c r="B34" s="34"/>
      <c r="C34" s="34"/>
      <c r="D34" s="34"/>
      <c r="E34" s="34"/>
      <c r="F34" s="34"/>
      <c r="G34" s="34"/>
      <c r="H34" s="34"/>
      <c r="I34" s="34"/>
      <c r="J34" s="34"/>
      <c r="K34" s="34"/>
      <c r="L34" s="34"/>
      <c r="M34" s="34"/>
      <c r="N34" s="34"/>
      <c r="O34" s="34"/>
      <c r="P34" s="34"/>
      <c r="Q34" s="34"/>
      <c r="R34" s="34"/>
      <c r="S34" s="34"/>
      <c r="T34" s="34"/>
      <c r="U34" s="34"/>
      <c r="V34" s="34"/>
      <c r="W34" s="34"/>
      <c r="X34" s="34"/>
      <c r="Y34" s="34"/>
      <c r="Z34" s="35"/>
    </row>
    <row r="35" spans="1:26" x14ac:dyDescent="0.3">
      <c r="A35" s="33"/>
      <c r="B35" s="34"/>
      <c r="C35" s="34"/>
      <c r="D35" s="34"/>
      <c r="E35" s="34"/>
      <c r="F35" s="34"/>
      <c r="G35" s="34"/>
      <c r="H35" s="34"/>
      <c r="I35" s="34"/>
      <c r="J35" s="34"/>
      <c r="K35" s="34"/>
      <c r="L35" s="34"/>
      <c r="M35" s="34"/>
      <c r="N35" s="34"/>
      <c r="O35" s="34"/>
      <c r="P35" s="34"/>
      <c r="Q35" s="34"/>
      <c r="R35" s="34"/>
      <c r="S35" s="34"/>
      <c r="T35" s="34"/>
      <c r="U35" s="34"/>
      <c r="V35" s="34"/>
      <c r="W35" s="34"/>
      <c r="X35" s="34"/>
      <c r="Y35" s="34"/>
      <c r="Z35" s="35"/>
    </row>
    <row r="36" spans="1:26" x14ac:dyDescent="0.3">
      <c r="A36" s="33"/>
      <c r="B36" s="34"/>
      <c r="C36" s="34"/>
      <c r="D36" s="34"/>
      <c r="E36" s="34"/>
      <c r="F36" s="34"/>
      <c r="G36" s="34"/>
      <c r="H36" s="34"/>
      <c r="I36" s="34"/>
      <c r="J36" s="34"/>
      <c r="K36" s="34"/>
      <c r="L36" s="34"/>
      <c r="M36" s="34"/>
      <c r="N36" s="34"/>
      <c r="O36" s="34"/>
      <c r="P36" s="34"/>
      <c r="Q36" s="34"/>
      <c r="R36" s="34"/>
      <c r="S36" s="34"/>
      <c r="T36" s="34"/>
      <c r="U36" s="34"/>
      <c r="V36" s="34"/>
      <c r="W36" s="34"/>
      <c r="X36" s="34"/>
      <c r="Y36" s="34"/>
      <c r="Z36" s="35"/>
    </row>
    <row r="37" spans="1:26" ht="14.4" customHeight="1" x14ac:dyDescent="0.3">
      <c r="A37" s="33"/>
      <c r="B37" s="34"/>
      <c r="C37" s="34"/>
      <c r="D37" s="34"/>
      <c r="E37" s="34"/>
      <c r="F37" s="34"/>
      <c r="G37" s="34"/>
      <c r="H37" s="34"/>
      <c r="I37" s="34"/>
      <c r="J37" s="34"/>
      <c r="K37" s="34"/>
      <c r="L37" s="34"/>
      <c r="M37" s="34"/>
      <c r="N37" s="34"/>
      <c r="O37" s="34"/>
      <c r="P37" s="34"/>
      <c r="Q37" s="34"/>
      <c r="R37" s="34"/>
      <c r="S37" s="34"/>
      <c r="T37" s="34"/>
      <c r="U37" s="34"/>
      <c r="V37" s="34"/>
      <c r="W37" s="34"/>
      <c r="X37" s="34"/>
      <c r="Y37" s="34"/>
      <c r="Z37" s="35"/>
    </row>
    <row r="38" spans="1:26" x14ac:dyDescent="0.3">
      <c r="A38" s="33"/>
      <c r="B38" s="34"/>
      <c r="C38" s="34"/>
      <c r="D38" s="34"/>
      <c r="E38" s="34"/>
      <c r="F38" s="34"/>
      <c r="G38" s="34"/>
      <c r="H38" s="34"/>
      <c r="I38" s="34"/>
      <c r="J38" s="34"/>
      <c r="K38" s="34"/>
      <c r="L38" s="34"/>
      <c r="M38" s="34"/>
      <c r="N38" s="34"/>
      <c r="O38" s="34"/>
      <c r="P38" s="34"/>
      <c r="Q38" s="34"/>
      <c r="R38" s="34"/>
      <c r="S38" s="34"/>
      <c r="T38" s="34"/>
      <c r="U38" s="34"/>
      <c r="V38" s="34"/>
      <c r="W38" s="34"/>
      <c r="X38" s="34"/>
      <c r="Y38" s="34"/>
      <c r="Z38" s="35"/>
    </row>
    <row r="39" spans="1:26" x14ac:dyDescent="0.3">
      <c r="A39" s="33"/>
      <c r="B39" s="34"/>
      <c r="C39" s="34"/>
      <c r="D39" s="34"/>
      <c r="E39" s="34"/>
      <c r="F39" s="34"/>
      <c r="G39" s="34"/>
      <c r="H39" s="34"/>
      <c r="I39" s="34"/>
      <c r="J39" s="34"/>
      <c r="K39" s="34"/>
      <c r="L39" s="34"/>
      <c r="M39" s="34"/>
      <c r="N39" s="34"/>
      <c r="O39" s="34"/>
      <c r="P39" s="34"/>
      <c r="Q39" s="34"/>
      <c r="R39" s="34"/>
      <c r="S39" s="34"/>
      <c r="T39" s="34"/>
      <c r="U39" s="34"/>
      <c r="V39" s="34"/>
      <c r="W39" s="34"/>
      <c r="X39" s="34"/>
      <c r="Y39" s="34"/>
      <c r="Z39" s="35"/>
    </row>
    <row r="40" spans="1:26" x14ac:dyDescent="0.3">
      <c r="A40" s="33"/>
      <c r="B40" s="34"/>
      <c r="C40" s="34"/>
      <c r="D40" s="34"/>
      <c r="E40" s="34"/>
      <c r="F40" s="34"/>
      <c r="G40" s="34"/>
      <c r="H40" s="34"/>
      <c r="I40" s="34"/>
      <c r="J40" s="34"/>
      <c r="K40" s="34"/>
      <c r="L40" s="34"/>
      <c r="M40" s="34"/>
      <c r="N40" s="34"/>
      <c r="O40" s="34"/>
      <c r="P40" s="34"/>
      <c r="Q40" s="34"/>
      <c r="R40" s="34"/>
      <c r="S40" s="34"/>
      <c r="T40" s="34"/>
      <c r="U40" s="34"/>
      <c r="V40" s="34"/>
      <c r="W40" s="34"/>
      <c r="X40" s="34"/>
      <c r="Y40" s="34"/>
      <c r="Z40" s="35"/>
    </row>
    <row r="41" spans="1:26" ht="14.4" customHeight="1" x14ac:dyDescent="0.3">
      <c r="A41" s="33"/>
      <c r="B41" s="34"/>
      <c r="C41" s="34"/>
      <c r="D41" s="34"/>
      <c r="E41" s="34"/>
      <c r="F41" s="34"/>
      <c r="G41" s="34"/>
      <c r="H41" s="34"/>
      <c r="I41" s="34"/>
      <c r="J41" s="34"/>
      <c r="K41" s="34"/>
      <c r="L41" s="34"/>
      <c r="M41" s="34"/>
      <c r="N41" s="34"/>
      <c r="O41" s="34"/>
      <c r="P41" s="34"/>
      <c r="Q41" s="34"/>
      <c r="R41" s="34"/>
      <c r="S41" s="34"/>
      <c r="T41" s="34"/>
      <c r="U41" s="34"/>
      <c r="V41" s="34"/>
      <c r="W41" s="34"/>
      <c r="X41" s="34"/>
      <c r="Y41" s="34"/>
      <c r="Z41" s="35"/>
    </row>
    <row r="42" spans="1:26" x14ac:dyDescent="0.3">
      <c r="A42" s="33"/>
      <c r="B42" s="34"/>
      <c r="C42" s="34"/>
      <c r="D42" s="34"/>
      <c r="E42" s="34"/>
      <c r="F42" s="34"/>
      <c r="G42" s="34"/>
      <c r="H42" s="34"/>
      <c r="I42" s="34"/>
      <c r="J42" s="34"/>
      <c r="K42" s="34"/>
      <c r="L42" s="34"/>
      <c r="M42" s="34"/>
      <c r="N42" s="34"/>
      <c r="O42" s="34"/>
      <c r="P42" s="34"/>
      <c r="Q42" s="34"/>
      <c r="R42" s="34"/>
      <c r="S42" s="34"/>
      <c r="T42" s="34"/>
      <c r="U42" s="34"/>
      <c r="V42" s="34"/>
      <c r="W42" s="34"/>
      <c r="X42" s="34"/>
      <c r="Y42" s="34"/>
      <c r="Z42" s="35"/>
    </row>
    <row r="43" spans="1:26" x14ac:dyDescent="0.3">
      <c r="A43" s="33"/>
      <c r="B43" s="34"/>
      <c r="C43" s="34"/>
      <c r="D43" s="34"/>
      <c r="E43" s="34"/>
      <c r="F43" s="34"/>
      <c r="G43" s="34"/>
      <c r="H43" s="34"/>
      <c r="I43" s="34"/>
      <c r="J43" s="34"/>
      <c r="K43" s="34"/>
      <c r="L43" s="34"/>
      <c r="M43" s="34"/>
      <c r="N43" s="34"/>
      <c r="O43" s="34"/>
      <c r="P43" s="34"/>
      <c r="Q43" s="34"/>
      <c r="R43" s="34"/>
      <c r="S43" s="34"/>
      <c r="T43" s="34"/>
      <c r="U43" s="34"/>
      <c r="V43" s="34"/>
      <c r="W43" s="34"/>
      <c r="X43" s="34"/>
      <c r="Y43" s="34"/>
      <c r="Z43" s="35"/>
    </row>
    <row r="44" spans="1:26" x14ac:dyDescent="0.3">
      <c r="A44" s="33"/>
      <c r="B44" s="34"/>
      <c r="C44" s="34"/>
      <c r="D44" s="34"/>
      <c r="E44" s="34"/>
      <c r="F44" s="34"/>
      <c r="G44" s="34"/>
      <c r="H44" s="34"/>
      <c r="I44" s="34"/>
      <c r="J44" s="34"/>
      <c r="K44" s="34"/>
      <c r="L44" s="34"/>
      <c r="M44" s="34"/>
      <c r="N44" s="34"/>
      <c r="O44" s="34"/>
      <c r="P44" s="34"/>
      <c r="Q44" s="34"/>
      <c r="R44" s="34"/>
      <c r="S44" s="34"/>
      <c r="T44" s="34"/>
      <c r="U44" s="34"/>
      <c r="V44" s="34"/>
      <c r="W44" s="34"/>
      <c r="X44" s="34"/>
      <c r="Y44" s="34"/>
      <c r="Z44" s="35"/>
    </row>
    <row r="45" spans="1:26" ht="14.4" customHeight="1" x14ac:dyDescent="0.3">
      <c r="A45" s="33"/>
      <c r="B45" s="34"/>
      <c r="C45" s="34"/>
      <c r="D45" s="34"/>
      <c r="E45" s="34"/>
      <c r="F45" s="34"/>
      <c r="G45" s="34"/>
      <c r="H45" s="34"/>
      <c r="I45" s="34"/>
      <c r="J45" s="34"/>
      <c r="K45" s="34"/>
      <c r="L45" s="34"/>
      <c r="M45" s="34"/>
      <c r="N45" s="34"/>
      <c r="O45" s="34"/>
      <c r="P45" s="34"/>
      <c r="Q45" s="34"/>
      <c r="R45" s="34"/>
      <c r="S45" s="34"/>
      <c r="T45" s="34"/>
      <c r="U45" s="34"/>
      <c r="V45" s="34"/>
      <c r="W45" s="34"/>
      <c r="X45" s="34"/>
      <c r="Y45" s="34"/>
      <c r="Z45" s="35"/>
    </row>
    <row r="46" spans="1:26" x14ac:dyDescent="0.3">
      <c r="A46" s="33"/>
      <c r="B46" s="34"/>
      <c r="C46" s="34"/>
      <c r="D46" s="34"/>
      <c r="E46" s="34"/>
      <c r="F46" s="34"/>
      <c r="G46" s="34"/>
      <c r="H46" s="34"/>
      <c r="I46" s="34"/>
      <c r="J46" s="34"/>
      <c r="K46" s="34"/>
      <c r="L46" s="34"/>
      <c r="M46" s="34"/>
      <c r="N46" s="34"/>
      <c r="O46" s="34"/>
      <c r="P46" s="34"/>
      <c r="Q46" s="34"/>
      <c r="R46" s="34"/>
      <c r="S46" s="34"/>
      <c r="T46" s="34"/>
      <c r="U46" s="34"/>
      <c r="V46" s="34"/>
      <c r="W46" s="34"/>
      <c r="X46" s="34"/>
      <c r="Y46" s="34"/>
      <c r="Z46" s="35"/>
    </row>
    <row r="47" spans="1:26" x14ac:dyDescent="0.3">
      <c r="A47" s="33"/>
      <c r="B47" s="34"/>
      <c r="C47" s="34"/>
      <c r="D47" s="34"/>
      <c r="E47" s="34"/>
      <c r="F47" s="34"/>
      <c r="G47" s="34"/>
      <c r="H47" s="34"/>
      <c r="I47" s="34"/>
      <c r="J47" s="34"/>
      <c r="K47" s="34"/>
      <c r="L47" s="34"/>
      <c r="M47" s="34"/>
      <c r="N47" s="34"/>
      <c r="O47" s="34"/>
      <c r="P47" s="34"/>
      <c r="Q47" s="34"/>
      <c r="R47" s="34"/>
      <c r="S47" s="34"/>
      <c r="T47" s="34"/>
      <c r="U47" s="34"/>
      <c r="V47" s="34"/>
      <c r="W47" s="34"/>
      <c r="X47" s="34"/>
      <c r="Y47" s="34"/>
      <c r="Z47" s="35"/>
    </row>
    <row r="48" spans="1:26" x14ac:dyDescent="0.3">
      <c r="A48" s="33"/>
      <c r="B48" s="34"/>
      <c r="C48" s="34"/>
      <c r="D48" s="34"/>
      <c r="E48" s="34"/>
      <c r="F48" s="34"/>
      <c r="G48" s="34"/>
      <c r="H48" s="34"/>
      <c r="I48" s="34"/>
      <c r="J48" s="34"/>
      <c r="K48" s="34"/>
      <c r="L48" s="34"/>
      <c r="M48" s="34"/>
      <c r="N48" s="34"/>
      <c r="O48" s="34"/>
      <c r="P48" s="34"/>
      <c r="Q48" s="34"/>
      <c r="R48" s="34"/>
      <c r="S48" s="34"/>
      <c r="T48" s="34"/>
      <c r="U48" s="34"/>
      <c r="V48" s="34"/>
      <c r="W48" s="34"/>
      <c r="X48" s="34"/>
      <c r="Y48" s="34"/>
      <c r="Z48" s="35"/>
    </row>
    <row r="49" spans="1:26" ht="14.4" customHeight="1" x14ac:dyDescent="0.3">
      <c r="A49" s="33"/>
      <c r="B49" s="34"/>
      <c r="C49" s="34"/>
      <c r="D49" s="34"/>
      <c r="E49" s="34"/>
      <c r="F49" s="34"/>
      <c r="G49" s="34"/>
      <c r="H49" s="34"/>
      <c r="I49" s="34"/>
      <c r="J49" s="34"/>
      <c r="K49" s="34"/>
      <c r="L49" s="34"/>
      <c r="M49" s="34"/>
      <c r="N49" s="34"/>
      <c r="O49" s="34"/>
      <c r="P49" s="34"/>
      <c r="Q49" s="34"/>
      <c r="R49" s="34"/>
      <c r="S49" s="34"/>
      <c r="T49" s="34"/>
      <c r="U49" s="34"/>
      <c r="V49" s="34"/>
      <c r="W49" s="34"/>
      <c r="X49" s="34"/>
      <c r="Y49" s="34"/>
      <c r="Z49" s="35"/>
    </row>
    <row r="50" spans="1:26" x14ac:dyDescent="0.3">
      <c r="A50" s="33"/>
      <c r="B50" s="34"/>
      <c r="C50" s="34"/>
      <c r="D50" s="34"/>
      <c r="E50" s="34"/>
      <c r="F50" s="34"/>
      <c r="G50" s="34"/>
      <c r="H50" s="34"/>
      <c r="I50" s="34"/>
      <c r="J50" s="34"/>
      <c r="K50" s="34"/>
      <c r="L50" s="34"/>
      <c r="M50" s="34"/>
      <c r="N50" s="34"/>
      <c r="O50" s="34"/>
      <c r="P50" s="34"/>
      <c r="Q50" s="34"/>
      <c r="R50" s="34"/>
      <c r="S50" s="34"/>
      <c r="T50" s="34"/>
      <c r="U50" s="34"/>
      <c r="V50" s="34"/>
      <c r="W50" s="34"/>
      <c r="X50" s="34"/>
      <c r="Y50" s="34"/>
      <c r="Z50" s="35"/>
    </row>
    <row r="51" spans="1:26" x14ac:dyDescent="0.3">
      <c r="A51" s="33"/>
      <c r="B51" s="34"/>
      <c r="C51" s="34"/>
      <c r="D51" s="34"/>
      <c r="E51" s="34"/>
      <c r="F51" s="34"/>
      <c r="G51" s="34"/>
      <c r="H51" s="34"/>
      <c r="I51" s="34"/>
      <c r="J51" s="34"/>
      <c r="K51" s="34"/>
      <c r="L51" s="34"/>
      <c r="M51" s="34"/>
      <c r="N51" s="34"/>
      <c r="O51" s="34"/>
      <c r="P51" s="34"/>
      <c r="Q51" s="34"/>
      <c r="R51" s="34"/>
      <c r="S51" s="34"/>
      <c r="T51" s="34"/>
      <c r="U51" s="34"/>
      <c r="V51" s="34"/>
      <c r="W51" s="34"/>
      <c r="X51" s="34"/>
      <c r="Y51" s="34"/>
      <c r="Z51" s="35"/>
    </row>
    <row r="52" spans="1:26" x14ac:dyDescent="0.3">
      <c r="A52" s="33"/>
      <c r="B52" s="34"/>
      <c r="C52" s="34"/>
      <c r="D52" s="34"/>
      <c r="E52" s="34"/>
      <c r="F52" s="34"/>
      <c r="G52" s="34"/>
      <c r="H52" s="34"/>
      <c r="I52" s="34"/>
      <c r="J52" s="34"/>
      <c r="K52" s="34"/>
      <c r="L52" s="34"/>
      <c r="M52" s="34"/>
      <c r="N52" s="34"/>
      <c r="O52" s="34"/>
      <c r="P52" s="34"/>
      <c r="Q52" s="34"/>
      <c r="R52" s="34"/>
      <c r="S52" s="34"/>
      <c r="T52" s="34"/>
      <c r="U52" s="34"/>
      <c r="V52" s="34"/>
      <c r="W52" s="34"/>
      <c r="X52" s="34"/>
      <c r="Y52" s="34"/>
      <c r="Z52" s="35"/>
    </row>
    <row r="53" spans="1:26" ht="14.4" customHeight="1" x14ac:dyDescent="0.3">
      <c r="A53" s="33"/>
      <c r="B53" s="34"/>
      <c r="C53" s="34"/>
      <c r="D53" s="34"/>
      <c r="E53" s="34"/>
      <c r="F53" s="34"/>
      <c r="G53" s="34"/>
      <c r="H53" s="34"/>
      <c r="I53" s="34"/>
      <c r="J53" s="34"/>
      <c r="K53" s="34"/>
      <c r="L53" s="34"/>
      <c r="M53" s="34"/>
      <c r="N53" s="34"/>
      <c r="O53" s="34"/>
      <c r="P53" s="34"/>
      <c r="Q53" s="34"/>
      <c r="R53" s="34"/>
      <c r="S53" s="34"/>
      <c r="T53" s="34"/>
      <c r="U53" s="34"/>
      <c r="V53" s="34"/>
      <c r="W53" s="34"/>
      <c r="X53" s="34"/>
      <c r="Y53" s="34"/>
      <c r="Z53" s="35"/>
    </row>
    <row r="54" spans="1:26" x14ac:dyDescent="0.3">
      <c r="A54" s="33"/>
      <c r="B54" s="34"/>
      <c r="C54" s="34"/>
      <c r="D54" s="34"/>
      <c r="E54" s="34"/>
      <c r="F54" s="34"/>
      <c r="G54" s="34"/>
      <c r="H54" s="34"/>
      <c r="I54" s="34"/>
      <c r="J54" s="34"/>
      <c r="K54" s="34"/>
      <c r="L54" s="34"/>
      <c r="M54" s="34"/>
      <c r="N54" s="34"/>
      <c r="O54" s="34"/>
      <c r="P54" s="34"/>
      <c r="Q54" s="34"/>
      <c r="R54" s="34"/>
      <c r="S54" s="34"/>
      <c r="T54" s="34"/>
      <c r="U54" s="34"/>
      <c r="V54" s="34"/>
      <c r="W54" s="34"/>
      <c r="X54" s="34"/>
      <c r="Y54" s="34"/>
      <c r="Z54" s="35"/>
    </row>
    <row r="55" spans="1:26" x14ac:dyDescent="0.3">
      <c r="A55" s="33"/>
      <c r="B55" s="34"/>
      <c r="C55" s="34"/>
      <c r="D55" s="34"/>
      <c r="E55" s="34"/>
      <c r="F55" s="34"/>
      <c r="G55" s="34"/>
      <c r="H55" s="34"/>
      <c r="I55" s="34"/>
      <c r="J55" s="34"/>
      <c r="K55" s="34"/>
      <c r="L55" s="34"/>
      <c r="M55" s="34"/>
      <c r="N55" s="34"/>
      <c r="O55" s="34"/>
      <c r="P55" s="34"/>
      <c r="Q55" s="34"/>
      <c r="R55" s="34"/>
      <c r="S55" s="34"/>
      <c r="T55" s="34"/>
      <c r="U55" s="34"/>
      <c r="V55" s="34"/>
      <c r="W55" s="34"/>
      <c r="X55" s="34"/>
      <c r="Y55" s="34"/>
      <c r="Z55" s="35"/>
    </row>
    <row r="56" spans="1:26" x14ac:dyDescent="0.3">
      <c r="A56" s="33"/>
      <c r="B56" s="34"/>
      <c r="C56" s="34"/>
      <c r="D56" s="34"/>
      <c r="E56" s="34"/>
      <c r="F56" s="34"/>
      <c r="G56" s="34"/>
      <c r="H56" s="34"/>
      <c r="I56" s="34"/>
      <c r="J56" s="34"/>
      <c r="K56" s="34"/>
      <c r="L56" s="34"/>
      <c r="M56" s="34"/>
      <c r="N56" s="34"/>
      <c r="O56" s="34"/>
      <c r="P56" s="34"/>
      <c r="Q56" s="34"/>
      <c r="R56" s="34"/>
      <c r="S56" s="34"/>
      <c r="T56" s="34"/>
      <c r="U56" s="34"/>
      <c r="V56" s="34"/>
      <c r="W56" s="34"/>
      <c r="X56" s="34"/>
      <c r="Y56" s="34"/>
      <c r="Z56" s="35"/>
    </row>
    <row r="57" spans="1:26" ht="14.4" customHeight="1" x14ac:dyDescent="0.3">
      <c r="A57" s="33"/>
      <c r="B57" s="34"/>
      <c r="C57" s="34"/>
      <c r="D57" s="34"/>
      <c r="E57" s="34"/>
      <c r="F57" s="34"/>
      <c r="G57" s="34"/>
      <c r="H57" s="34"/>
      <c r="I57" s="34"/>
      <c r="J57" s="34"/>
      <c r="K57" s="34"/>
      <c r="L57" s="34"/>
      <c r="M57" s="34"/>
      <c r="N57" s="34"/>
      <c r="O57" s="34"/>
      <c r="P57" s="34"/>
      <c r="Q57" s="34"/>
      <c r="R57" s="34"/>
      <c r="S57" s="34"/>
      <c r="T57" s="34"/>
      <c r="U57" s="34"/>
      <c r="V57" s="34"/>
      <c r="W57" s="34"/>
      <c r="X57" s="34"/>
      <c r="Y57" s="34"/>
      <c r="Z57" s="35"/>
    </row>
    <row r="58" spans="1:26" x14ac:dyDescent="0.3">
      <c r="A58" s="33"/>
      <c r="B58" s="34"/>
      <c r="C58" s="34"/>
      <c r="D58" s="34"/>
      <c r="E58" s="34"/>
      <c r="F58" s="34"/>
      <c r="G58" s="34"/>
      <c r="H58" s="34"/>
      <c r="I58" s="34"/>
      <c r="J58" s="34"/>
      <c r="K58" s="34"/>
      <c r="L58" s="34"/>
      <c r="M58" s="34"/>
      <c r="N58" s="34"/>
      <c r="O58" s="34"/>
      <c r="P58" s="34"/>
      <c r="Q58" s="34"/>
      <c r="R58" s="34"/>
      <c r="S58" s="34"/>
      <c r="T58" s="34"/>
      <c r="U58" s="34"/>
      <c r="V58" s="34"/>
      <c r="W58" s="34"/>
      <c r="X58" s="34"/>
      <c r="Y58" s="34"/>
      <c r="Z58" s="35"/>
    </row>
    <row r="59" spans="1:26" x14ac:dyDescent="0.3">
      <c r="A59" s="33"/>
      <c r="B59" s="34"/>
      <c r="C59" s="34"/>
      <c r="D59" s="34"/>
      <c r="E59" s="34"/>
      <c r="F59" s="34"/>
      <c r="G59" s="34"/>
      <c r="H59" s="34"/>
      <c r="I59" s="34"/>
      <c r="J59" s="34"/>
      <c r="K59" s="34"/>
      <c r="L59" s="34"/>
      <c r="M59" s="34"/>
      <c r="N59" s="34"/>
      <c r="O59" s="34"/>
      <c r="P59" s="34"/>
      <c r="Q59" s="34"/>
      <c r="R59" s="34"/>
      <c r="S59" s="34"/>
      <c r="T59" s="34"/>
      <c r="U59" s="34"/>
      <c r="V59" s="34"/>
      <c r="W59" s="34"/>
      <c r="X59" s="34"/>
      <c r="Y59" s="34"/>
      <c r="Z59" s="35"/>
    </row>
    <row r="60" spans="1:26" x14ac:dyDescent="0.3">
      <c r="A60" s="33"/>
      <c r="B60" s="34"/>
      <c r="C60" s="34"/>
      <c r="D60" s="34"/>
      <c r="E60" s="34"/>
      <c r="F60" s="34"/>
      <c r="G60" s="34"/>
      <c r="H60" s="34"/>
      <c r="I60" s="34"/>
      <c r="J60" s="34"/>
      <c r="K60" s="34"/>
      <c r="L60" s="34"/>
      <c r="M60" s="34"/>
      <c r="N60" s="34"/>
      <c r="O60" s="34"/>
      <c r="P60" s="34"/>
      <c r="Q60" s="34"/>
      <c r="R60" s="34"/>
      <c r="S60" s="34"/>
      <c r="T60" s="34"/>
      <c r="U60" s="34"/>
      <c r="V60" s="34"/>
      <c r="W60" s="34"/>
      <c r="X60" s="34"/>
      <c r="Y60" s="34"/>
      <c r="Z60" s="35"/>
    </row>
    <row r="61" spans="1:26" ht="14.4" customHeight="1" x14ac:dyDescent="0.3">
      <c r="A61" s="33"/>
      <c r="B61" s="34"/>
      <c r="C61" s="34"/>
      <c r="D61" s="34"/>
      <c r="E61" s="34"/>
      <c r="F61" s="34"/>
      <c r="G61" s="34"/>
      <c r="H61" s="34"/>
      <c r="I61" s="34"/>
      <c r="J61" s="34"/>
      <c r="K61" s="34"/>
      <c r="L61" s="34"/>
      <c r="M61" s="34"/>
      <c r="N61" s="34"/>
      <c r="O61" s="34"/>
      <c r="P61" s="34"/>
      <c r="Q61" s="34"/>
      <c r="R61" s="34"/>
      <c r="S61" s="34"/>
      <c r="T61" s="34"/>
      <c r="U61" s="34"/>
      <c r="V61" s="34"/>
      <c r="W61" s="34"/>
      <c r="X61" s="34"/>
      <c r="Y61" s="34"/>
      <c r="Z61" s="35"/>
    </row>
    <row r="62" spans="1:26" x14ac:dyDescent="0.3">
      <c r="A62" s="33"/>
      <c r="B62" s="34"/>
      <c r="C62" s="34"/>
      <c r="D62" s="34"/>
      <c r="E62" s="34"/>
      <c r="F62" s="34"/>
      <c r="G62" s="34"/>
      <c r="H62" s="34"/>
      <c r="I62" s="34"/>
      <c r="J62" s="34"/>
      <c r="K62" s="34"/>
      <c r="L62" s="34"/>
      <c r="M62" s="34"/>
      <c r="N62" s="34"/>
      <c r="O62" s="34"/>
      <c r="P62" s="34"/>
      <c r="Q62" s="34"/>
      <c r="R62" s="34"/>
      <c r="S62" s="34"/>
      <c r="T62" s="34"/>
      <c r="U62" s="34"/>
      <c r="V62" s="34"/>
      <c r="W62" s="34"/>
      <c r="X62" s="34"/>
      <c r="Y62" s="34"/>
      <c r="Z62" s="35"/>
    </row>
    <row r="63" spans="1:26" x14ac:dyDescent="0.3">
      <c r="A63" s="33"/>
      <c r="B63" s="34"/>
      <c r="C63" s="34"/>
      <c r="D63" s="34"/>
      <c r="E63" s="34"/>
      <c r="F63" s="34"/>
      <c r="G63" s="34"/>
      <c r="H63" s="34"/>
      <c r="I63" s="34"/>
      <c r="J63" s="34"/>
      <c r="K63" s="34"/>
      <c r="L63" s="34"/>
      <c r="M63" s="34"/>
      <c r="N63" s="34"/>
      <c r="O63" s="34"/>
      <c r="P63" s="34"/>
      <c r="Q63" s="34"/>
      <c r="R63" s="34"/>
      <c r="S63" s="34"/>
      <c r="T63" s="34"/>
      <c r="U63" s="34"/>
      <c r="V63" s="34"/>
      <c r="W63" s="34"/>
      <c r="X63" s="34"/>
      <c r="Y63" s="34"/>
      <c r="Z63" s="35"/>
    </row>
    <row r="64" spans="1:26" x14ac:dyDescent="0.3">
      <c r="A64" s="33"/>
      <c r="B64" s="34"/>
      <c r="C64" s="34"/>
      <c r="D64" s="34"/>
      <c r="E64" s="34"/>
      <c r="F64" s="34"/>
      <c r="G64" s="34"/>
      <c r="H64" s="34"/>
      <c r="I64" s="34"/>
      <c r="J64" s="34"/>
      <c r="K64" s="34"/>
      <c r="L64" s="34"/>
      <c r="M64" s="34"/>
      <c r="N64" s="34"/>
      <c r="O64" s="34"/>
      <c r="P64" s="34"/>
      <c r="Q64" s="34"/>
      <c r="R64" s="34"/>
      <c r="S64" s="34"/>
      <c r="T64" s="34"/>
      <c r="U64" s="34"/>
      <c r="V64" s="34"/>
      <c r="W64" s="34"/>
      <c r="X64" s="34"/>
      <c r="Y64" s="34"/>
      <c r="Z64" s="35"/>
    </row>
    <row r="65" spans="1:26" ht="14.4" customHeight="1" x14ac:dyDescent="0.3">
      <c r="A65" s="33"/>
      <c r="B65" s="34"/>
      <c r="C65" s="34"/>
      <c r="D65" s="34"/>
      <c r="E65" s="34"/>
      <c r="F65" s="34"/>
      <c r="G65" s="34"/>
      <c r="H65" s="34"/>
      <c r="I65" s="34"/>
      <c r="J65" s="34"/>
      <c r="K65" s="34"/>
      <c r="L65" s="34"/>
      <c r="M65" s="34"/>
      <c r="N65" s="34"/>
      <c r="O65" s="34"/>
      <c r="P65" s="34"/>
      <c r="Q65" s="34"/>
      <c r="R65" s="34"/>
      <c r="S65" s="34"/>
      <c r="T65" s="34"/>
      <c r="U65" s="34"/>
      <c r="V65" s="34"/>
      <c r="W65" s="34"/>
      <c r="X65" s="34"/>
      <c r="Y65" s="34"/>
      <c r="Z65" s="35"/>
    </row>
    <row r="66" spans="1:26" x14ac:dyDescent="0.3">
      <c r="A66" s="33"/>
      <c r="B66" s="34"/>
      <c r="C66" s="34"/>
      <c r="D66" s="34"/>
      <c r="E66" s="34"/>
      <c r="F66" s="34"/>
      <c r="G66" s="34"/>
      <c r="H66" s="34"/>
      <c r="I66" s="34"/>
      <c r="J66" s="34"/>
      <c r="K66" s="34"/>
      <c r="L66" s="34"/>
      <c r="M66" s="34"/>
      <c r="N66" s="34"/>
      <c r="O66" s="34"/>
      <c r="P66" s="34"/>
      <c r="Q66" s="34"/>
      <c r="R66" s="34"/>
      <c r="S66" s="34"/>
      <c r="T66" s="34"/>
      <c r="U66" s="34"/>
      <c r="V66" s="34"/>
      <c r="W66" s="34"/>
      <c r="X66" s="34"/>
      <c r="Y66" s="34"/>
      <c r="Z66" s="35"/>
    </row>
    <row r="67" spans="1:26" x14ac:dyDescent="0.3">
      <c r="A67" s="33"/>
      <c r="B67" s="34"/>
      <c r="C67" s="34"/>
      <c r="D67" s="34"/>
      <c r="E67" s="34"/>
      <c r="F67" s="34"/>
      <c r="G67" s="34"/>
      <c r="H67" s="34"/>
      <c r="I67" s="34"/>
      <c r="J67" s="34"/>
      <c r="K67" s="34"/>
      <c r="L67" s="34"/>
      <c r="M67" s="34"/>
      <c r="N67" s="34"/>
      <c r="O67" s="34"/>
      <c r="P67" s="34"/>
      <c r="Q67" s="34"/>
      <c r="R67" s="34"/>
      <c r="S67" s="34"/>
      <c r="T67" s="34"/>
      <c r="U67" s="34"/>
      <c r="V67" s="34"/>
      <c r="W67" s="34"/>
      <c r="X67" s="34"/>
      <c r="Y67" s="34"/>
      <c r="Z67" s="35"/>
    </row>
    <row r="68" spans="1:26" x14ac:dyDescent="0.3">
      <c r="A68" s="33"/>
      <c r="B68" s="34"/>
      <c r="C68" s="34"/>
      <c r="D68" s="34"/>
      <c r="E68" s="34"/>
      <c r="F68" s="34"/>
      <c r="G68" s="34"/>
      <c r="H68" s="34"/>
      <c r="I68" s="34"/>
      <c r="J68" s="34"/>
      <c r="K68" s="34"/>
      <c r="L68" s="34"/>
      <c r="M68" s="34"/>
      <c r="N68" s="34"/>
      <c r="O68" s="34"/>
      <c r="P68" s="34"/>
      <c r="Q68" s="34"/>
      <c r="R68" s="34"/>
      <c r="S68" s="34"/>
      <c r="T68" s="34"/>
      <c r="U68" s="34"/>
      <c r="V68" s="34"/>
      <c r="W68" s="34"/>
      <c r="X68" s="34"/>
      <c r="Y68" s="34"/>
      <c r="Z68" s="35"/>
    </row>
    <row r="69" spans="1:26" x14ac:dyDescent="0.3">
      <c r="A69" s="37"/>
      <c r="B69" s="38"/>
      <c r="C69" s="38"/>
      <c r="D69" s="38"/>
      <c r="E69" s="38"/>
      <c r="F69" s="38"/>
      <c r="G69" s="38"/>
      <c r="H69" s="38"/>
      <c r="I69" s="38"/>
      <c r="J69" s="38"/>
      <c r="K69" s="38"/>
      <c r="L69" s="38"/>
      <c r="M69" s="38"/>
      <c r="N69" s="38"/>
      <c r="O69" s="38"/>
      <c r="P69" s="38"/>
      <c r="Q69" s="38"/>
      <c r="R69" s="38"/>
      <c r="S69" s="38"/>
      <c r="T69" s="38"/>
      <c r="U69" s="38"/>
      <c r="V69" s="38"/>
      <c r="W69" s="38"/>
      <c r="X69" s="38"/>
      <c r="Y69" s="38"/>
      <c r="Z69" s="39"/>
    </row>
  </sheetData>
  <mergeCells count="1">
    <mergeCell ref="A1:Y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703D26-1EF9-46C5-B4AC-F9F97B8D8D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 Data</vt:lpstr>
      <vt:lpstr>Table1</vt:lpstr>
      <vt:lpstr>Revenue By Category</vt:lpstr>
      <vt:lpstr>Order Status</vt:lpstr>
      <vt:lpstr>Revenue By State</vt:lpstr>
      <vt:lpstr>Revenue By Sales Person</vt:lpstr>
      <vt:lpstr>Average Rating </vt:lpstr>
      <vt:lpstr>Monthly Revenue By Category</vt:lpstr>
      <vt:lpstr>Cities As per Revenue</vt:lpstr>
      <vt:lpstr>revenue by payment method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Deep Mandal</cp:lastModifiedBy>
  <cp:revision>0</cp:revision>
  <dcterms:created xsi:type="dcterms:W3CDTF">2026-07-31T09:55:01Z</dcterms:created>
  <dcterms:modified xsi:type="dcterms:W3CDTF">2026-10-27T10:55:22Z</dcterms:modified>
  <dc:language>en-US</dc:language>
</cp:coreProperties>
</file>